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D:\SELF\JE GROUP\JB STORE\"/>
    </mc:Choice>
  </mc:AlternateContent>
  <xr:revisionPtr revIDLastSave="0" documentId="13_ncr:1_{88346D08-1FF9-4698-85AC-98FA2FB6D850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PETUNJUK" sheetId="1" r:id="rId1"/>
    <sheet name="KARTU STOCK" sheetId="4" r:id="rId2"/>
    <sheet name="TEMPLATE OPNAME" sheetId="2" r:id="rId3"/>
    <sheet name="RINGKASAN" sheetId="3" r:id="rId4"/>
  </sheets>
  <definedNames>
    <definedName name="_xlnm._FilterDatabase" localSheetId="2" hidden="1">'TEMPLATE OPNAME'!$A$4:$K$54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5" i="2" l="1"/>
  <c r="J55" i="2"/>
  <c r="I56" i="2"/>
  <c r="J56" i="2" s="1"/>
  <c r="I57" i="2"/>
  <c r="J57" i="2" s="1"/>
  <c r="I58" i="2"/>
  <c r="J58" i="2"/>
  <c r="I59" i="2"/>
  <c r="J59" i="2" s="1"/>
  <c r="I60" i="2"/>
  <c r="J60" i="2"/>
  <c r="I61" i="2"/>
  <c r="J61" i="2"/>
  <c r="I62" i="2"/>
  <c r="J62" i="2" s="1"/>
  <c r="I63" i="2"/>
  <c r="J63" i="2"/>
  <c r="I64" i="2"/>
  <c r="J64" i="2" s="1"/>
  <c r="I65" i="2"/>
  <c r="J65" i="2" s="1"/>
  <c r="I66" i="2"/>
  <c r="J66" i="2" s="1"/>
  <c r="I67" i="2"/>
  <c r="J67" i="2"/>
  <c r="I68" i="2"/>
  <c r="J68" i="2" s="1"/>
  <c r="I69" i="2"/>
  <c r="J69" i="2" s="1"/>
  <c r="I70" i="2"/>
  <c r="J70" i="2" s="1"/>
  <c r="I71" i="2"/>
  <c r="J71" i="2" s="1"/>
  <c r="I72" i="2"/>
  <c r="J72" i="2" s="1"/>
  <c r="I73" i="2"/>
  <c r="J73" i="2" s="1"/>
  <c r="I74" i="2"/>
  <c r="J74" i="2"/>
  <c r="I75" i="2"/>
  <c r="J75" i="2"/>
  <c r="I76" i="2"/>
  <c r="J76" i="2" s="1"/>
  <c r="I77" i="2"/>
  <c r="J77" i="2" s="1"/>
  <c r="I78" i="2"/>
  <c r="J78" i="2" s="1"/>
  <c r="I79" i="2"/>
  <c r="J79" i="2"/>
  <c r="I80" i="2"/>
  <c r="J80" i="2" s="1"/>
  <c r="I81" i="2"/>
  <c r="J81" i="2" s="1"/>
  <c r="I82" i="2"/>
  <c r="J82" i="2" s="1"/>
  <c r="I83" i="2"/>
  <c r="J83" i="2" s="1"/>
  <c r="I84" i="2"/>
  <c r="J84" i="2" s="1"/>
  <c r="I85" i="2"/>
  <c r="J85" i="2" s="1"/>
  <c r="I86" i="2"/>
  <c r="J86" i="2" s="1"/>
  <c r="I87" i="2"/>
  <c r="J87" i="2" s="1"/>
  <c r="I88" i="2"/>
  <c r="J88" i="2" s="1"/>
  <c r="I89" i="2"/>
  <c r="J89" i="2"/>
  <c r="I90" i="2"/>
  <c r="J90" i="2" s="1"/>
  <c r="I91" i="2"/>
  <c r="J91" i="2" s="1"/>
  <c r="I92" i="2"/>
  <c r="J92" i="2" s="1"/>
  <c r="I93" i="2"/>
  <c r="J93" i="2"/>
  <c r="I94" i="2"/>
  <c r="J94" i="2" s="1"/>
  <c r="I95" i="2"/>
  <c r="J95" i="2"/>
  <c r="I96" i="2"/>
  <c r="J96" i="2" s="1"/>
  <c r="I97" i="2"/>
  <c r="J97" i="2" s="1"/>
  <c r="I98" i="2"/>
  <c r="J98" i="2" s="1"/>
  <c r="I99" i="2"/>
  <c r="J99" i="2" s="1"/>
  <c r="I100" i="2"/>
  <c r="J100" i="2" s="1"/>
  <c r="I101" i="2"/>
  <c r="J101" i="2" s="1"/>
  <c r="I102" i="2"/>
  <c r="J102" i="2" s="1"/>
  <c r="I103" i="2"/>
  <c r="J103" i="2" s="1"/>
  <c r="I104" i="2"/>
  <c r="J104" i="2" s="1"/>
  <c r="I105" i="2"/>
  <c r="J105" i="2" s="1"/>
  <c r="I106" i="2"/>
  <c r="J106" i="2" s="1"/>
  <c r="I107" i="2"/>
  <c r="J107" i="2" s="1"/>
  <c r="I108" i="2"/>
  <c r="J108" i="2" s="1"/>
  <c r="I109" i="2"/>
  <c r="J109" i="2" s="1"/>
  <c r="I110" i="2"/>
  <c r="J110" i="2" s="1"/>
  <c r="I111" i="2"/>
  <c r="J111" i="2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/>
  <c r="I134" i="2"/>
  <c r="J134" i="2" s="1"/>
  <c r="I135" i="2"/>
  <c r="J135" i="2" s="1"/>
  <c r="I136" i="2"/>
  <c r="J136" i="2" s="1"/>
  <c r="I137" i="2"/>
  <c r="J137" i="2"/>
  <c r="I138" i="2"/>
  <c r="J138" i="2" s="1"/>
  <c r="I139" i="2"/>
  <c r="J139" i="2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/>
  <c r="I155" i="2"/>
  <c r="J155" i="2" s="1"/>
  <c r="I156" i="2"/>
  <c r="J156" i="2" s="1"/>
  <c r="I157" i="2"/>
  <c r="J157" i="2" s="1"/>
  <c r="I158" i="2"/>
  <c r="J158" i="2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/>
  <c r="I165" i="2"/>
  <c r="J165" i="2"/>
  <c r="I166" i="2"/>
  <c r="J166" i="2"/>
  <c r="I167" i="2"/>
  <c r="J167" i="2"/>
  <c r="I168" i="2"/>
  <c r="J168" i="2"/>
  <c r="I169" i="2"/>
  <c r="J169" i="2"/>
  <c r="I170" i="2"/>
  <c r="J170" i="2"/>
  <c r="I171" i="2"/>
  <c r="J171" i="2"/>
  <c r="I172" i="2"/>
  <c r="J172" i="2"/>
  <c r="I173" i="2"/>
  <c r="J173" i="2"/>
  <c r="I174" i="2"/>
  <c r="J174" i="2"/>
  <c r="I175" i="2"/>
  <c r="J175" i="2"/>
  <c r="I176" i="2"/>
  <c r="J176" i="2"/>
  <c r="I177" i="2"/>
  <c r="J177" i="2"/>
  <c r="I178" i="2"/>
  <c r="J178" i="2"/>
  <c r="I179" i="2"/>
  <c r="J179" i="2"/>
  <c r="I180" i="2"/>
  <c r="J180" i="2"/>
  <c r="I181" i="2"/>
  <c r="J181" i="2"/>
  <c r="I182" i="2"/>
  <c r="J182" i="2"/>
  <c r="I183" i="2"/>
  <c r="J183" i="2"/>
  <c r="I184" i="2"/>
  <c r="J184" i="2"/>
  <c r="I185" i="2"/>
  <c r="J185" i="2"/>
  <c r="I186" i="2"/>
  <c r="J186" i="2"/>
  <c r="I187" i="2"/>
  <c r="J187" i="2"/>
  <c r="I188" i="2"/>
  <c r="J188" i="2"/>
  <c r="I189" i="2"/>
  <c r="J189" i="2" s="1"/>
  <c r="I190" i="2"/>
  <c r="J190" i="2" s="1"/>
  <c r="I191" i="2"/>
  <c r="J191" i="2" s="1"/>
  <c r="I192" i="2"/>
  <c r="J192" i="2" s="1"/>
  <c r="I193" i="2"/>
  <c r="J193" i="2"/>
  <c r="I194" i="2"/>
  <c r="J194" i="2" s="1"/>
  <c r="I195" i="2"/>
  <c r="J195" i="2"/>
  <c r="I196" i="2"/>
  <c r="J196" i="2" s="1"/>
  <c r="I197" i="2"/>
  <c r="J197" i="2"/>
  <c r="I198" i="2"/>
  <c r="J198" i="2" s="1"/>
  <c r="I199" i="2"/>
  <c r="J199" i="2" s="1"/>
  <c r="I200" i="2"/>
  <c r="J200" i="2" s="1"/>
  <c r="I201" i="2"/>
  <c r="J201" i="2"/>
  <c r="I202" i="2"/>
  <c r="J202" i="2" s="1"/>
  <c r="I203" i="2"/>
  <c r="J203" i="2" s="1"/>
  <c r="I204" i="2"/>
  <c r="J204" i="2" s="1"/>
  <c r="I205" i="2"/>
  <c r="J205" i="2"/>
  <c r="I206" i="2"/>
  <c r="J206" i="2" s="1"/>
  <c r="I207" i="2"/>
  <c r="J207" i="2" s="1"/>
  <c r="I208" i="2"/>
  <c r="J208" i="2" s="1"/>
  <c r="I209" i="2"/>
  <c r="J209" i="2" s="1"/>
  <c r="I210" i="2"/>
  <c r="J210" i="2" s="1"/>
  <c r="I211" i="2"/>
  <c r="J211" i="2" s="1"/>
  <c r="I212" i="2"/>
  <c r="J212" i="2" s="1"/>
  <c r="I213" i="2"/>
  <c r="J213" i="2" s="1"/>
  <c r="I214" i="2"/>
  <c r="J214" i="2"/>
  <c r="I215" i="2"/>
  <c r="J215" i="2" s="1"/>
  <c r="I216" i="2"/>
  <c r="J216" i="2" s="1"/>
  <c r="I217" i="2"/>
  <c r="J217" i="2"/>
  <c r="I218" i="2"/>
  <c r="J218" i="2"/>
  <c r="I219" i="2"/>
  <c r="J219" i="2" s="1"/>
  <c r="I220" i="2"/>
  <c r="J220" i="2" s="1"/>
  <c r="I221" i="2"/>
  <c r="J221" i="2" s="1"/>
  <c r="I222" i="2"/>
  <c r="J222" i="2"/>
  <c r="I223" i="2"/>
  <c r="J223" i="2" s="1"/>
  <c r="I224" i="2"/>
  <c r="J224" i="2" s="1"/>
  <c r="I225" i="2"/>
  <c r="J225" i="2" s="1"/>
  <c r="I226" i="2"/>
  <c r="J226" i="2" s="1"/>
  <c r="I227" i="2"/>
  <c r="J227" i="2" s="1"/>
  <c r="I228" i="2"/>
  <c r="J228" i="2" s="1"/>
  <c r="I229" i="2"/>
  <c r="J229" i="2" s="1"/>
  <c r="I230" i="2"/>
  <c r="J230" i="2"/>
  <c r="I231" i="2"/>
  <c r="J231" i="2" s="1"/>
  <c r="I232" i="2"/>
  <c r="J232" i="2" s="1"/>
  <c r="I233" i="2"/>
  <c r="J233" i="2" s="1"/>
  <c r="I234" i="2"/>
  <c r="J234" i="2" s="1"/>
  <c r="I235" i="2"/>
  <c r="J235" i="2" s="1"/>
  <c r="I236" i="2"/>
  <c r="J236" i="2" s="1"/>
  <c r="I237" i="2"/>
  <c r="J237" i="2"/>
  <c r="I238" i="2"/>
  <c r="J238" i="2" s="1"/>
  <c r="I239" i="2"/>
  <c r="J239" i="2" s="1"/>
  <c r="I240" i="2"/>
  <c r="J240" i="2" s="1"/>
  <c r="I241" i="2"/>
  <c r="J241" i="2" s="1"/>
  <c r="I242" i="2"/>
  <c r="J242" i="2" s="1"/>
  <c r="I243" i="2"/>
  <c r="J243" i="2" s="1"/>
  <c r="I244" i="2"/>
  <c r="J244" i="2" s="1"/>
  <c r="I245" i="2"/>
  <c r="J245" i="2" s="1"/>
  <c r="I246" i="2"/>
  <c r="J246" i="2" s="1"/>
  <c r="I247" i="2"/>
  <c r="J247" i="2" s="1"/>
  <c r="I248" i="2"/>
  <c r="J248" i="2" s="1"/>
  <c r="I249" i="2"/>
  <c r="J249" i="2" s="1"/>
  <c r="I250" i="2"/>
  <c r="J250" i="2" s="1"/>
  <c r="I251" i="2"/>
  <c r="J251" i="2" s="1"/>
  <c r="I252" i="2"/>
  <c r="J252" i="2" s="1"/>
  <c r="I253" i="2"/>
  <c r="J253" i="2" s="1"/>
  <c r="I254" i="2"/>
  <c r="J254" i="2" s="1"/>
  <c r="I255" i="2"/>
  <c r="J255" i="2" s="1"/>
  <c r="I256" i="2"/>
  <c r="J256" i="2" s="1"/>
  <c r="I257" i="2"/>
  <c r="J257" i="2" s="1"/>
  <c r="I258" i="2"/>
  <c r="J258" i="2" s="1"/>
  <c r="I259" i="2"/>
  <c r="J259" i="2" s="1"/>
  <c r="I260" i="2"/>
  <c r="J260" i="2"/>
  <c r="I261" i="2"/>
  <c r="J261" i="2" s="1"/>
  <c r="I262" i="2"/>
  <c r="J262" i="2" s="1"/>
  <c r="I263" i="2"/>
  <c r="J263" i="2"/>
  <c r="I264" i="2"/>
  <c r="J264" i="2" s="1"/>
  <c r="I265" i="2"/>
  <c r="J265" i="2" s="1"/>
  <c r="I266" i="2"/>
  <c r="J266" i="2"/>
  <c r="I267" i="2"/>
  <c r="J267" i="2"/>
  <c r="I268" i="2"/>
  <c r="J268" i="2" s="1"/>
  <c r="I269" i="2"/>
  <c r="J269" i="2" s="1"/>
  <c r="I270" i="2"/>
  <c r="J270" i="2"/>
  <c r="I271" i="2"/>
  <c r="J271" i="2"/>
  <c r="I272" i="2"/>
  <c r="J272" i="2"/>
  <c r="I273" i="2"/>
  <c r="J273" i="2"/>
  <c r="I274" i="2"/>
  <c r="J274" i="2"/>
  <c r="I275" i="2"/>
  <c r="J275" i="2"/>
  <c r="I276" i="2"/>
  <c r="J276" i="2"/>
  <c r="I277" i="2"/>
  <c r="J277" i="2"/>
  <c r="I278" i="2"/>
  <c r="J278" i="2"/>
  <c r="I279" i="2"/>
  <c r="J279" i="2"/>
  <c r="I280" i="2"/>
  <c r="J280" i="2"/>
  <c r="I281" i="2"/>
  <c r="J281" i="2"/>
  <c r="I282" i="2"/>
  <c r="J282" i="2"/>
  <c r="I283" i="2"/>
  <c r="J283" i="2"/>
  <c r="I284" i="2"/>
  <c r="J284" i="2"/>
  <c r="I285" i="2"/>
  <c r="J285" i="2"/>
  <c r="I286" i="2"/>
  <c r="J286" i="2"/>
  <c r="I287" i="2"/>
  <c r="J287" i="2"/>
  <c r="I288" i="2"/>
  <c r="J288" i="2"/>
  <c r="I289" i="2"/>
  <c r="J289" i="2"/>
  <c r="I290" i="2"/>
  <c r="J290" i="2"/>
  <c r="I291" i="2"/>
  <c r="J291" i="2"/>
  <c r="I292" i="2"/>
  <c r="J292" i="2"/>
  <c r="I293" i="2"/>
  <c r="J293" i="2"/>
  <c r="I294" i="2"/>
  <c r="J294" i="2"/>
  <c r="I295" i="2"/>
  <c r="J295" i="2"/>
  <c r="I296" i="2"/>
  <c r="J296" i="2"/>
  <c r="I297" i="2"/>
  <c r="J297" i="2"/>
  <c r="I298" i="2"/>
  <c r="J298" i="2"/>
  <c r="I299" i="2"/>
  <c r="J299" i="2"/>
  <c r="I300" i="2"/>
  <c r="J300" i="2"/>
  <c r="I301" i="2"/>
  <c r="J301" i="2"/>
  <c r="I302" i="2"/>
  <c r="J302" i="2"/>
  <c r="I303" i="2"/>
  <c r="J303" i="2"/>
  <c r="I304" i="2"/>
  <c r="J304" i="2"/>
  <c r="I305" i="2"/>
  <c r="J305" i="2"/>
  <c r="I306" i="2"/>
  <c r="J306" i="2"/>
  <c r="I307" i="2"/>
  <c r="J307" i="2"/>
  <c r="I308" i="2"/>
  <c r="J308" i="2"/>
  <c r="I309" i="2"/>
  <c r="J309" i="2"/>
  <c r="I310" i="2"/>
  <c r="J310" i="2"/>
  <c r="I311" i="2"/>
  <c r="J311" i="2"/>
  <c r="I5" i="2"/>
  <c r="J5" i="2" s="1"/>
  <c r="G10" i="4"/>
  <c r="I10" i="4" s="1"/>
  <c r="G697" i="4"/>
  <c r="I697" i="4" s="1"/>
  <c r="G696" i="4"/>
  <c r="I696" i="4" s="1"/>
  <c r="G695" i="4"/>
  <c r="I695" i="4" s="1"/>
  <c r="G694" i="4"/>
  <c r="I694" i="4" s="1"/>
  <c r="G693" i="4"/>
  <c r="I693" i="4" s="1"/>
  <c r="G692" i="4"/>
  <c r="I692" i="4" s="1"/>
  <c r="G691" i="4"/>
  <c r="I691" i="4" s="1"/>
  <c r="G690" i="4"/>
  <c r="I690" i="4" s="1"/>
  <c r="G689" i="4"/>
  <c r="I689" i="4" s="1"/>
  <c r="G688" i="4"/>
  <c r="I688" i="4" s="1"/>
  <c r="G687" i="4"/>
  <c r="I687" i="4" s="1"/>
  <c r="G686" i="4"/>
  <c r="I686" i="4" s="1"/>
  <c r="G685" i="4"/>
  <c r="I685" i="4" s="1"/>
  <c r="G684" i="4"/>
  <c r="I684" i="4" s="1"/>
  <c r="G683" i="4"/>
  <c r="I683" i="4" s="1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I634" i="4" s="1"/>
  <c r="G633" i="4"/>
  <c r="G632" i="4"/>
  <c r="I632" i="4" s="1"/>
  <c r="G631" i="4"/>
  <c r="I631" i="4" s="1"/>
  <c r="G630" i="4"/>
  <c r="I630" i="4" s="1"/>
  <c r="G629" i="4"/>
  <c r="I629" i="4" s="1"/>
  <c r="G628" i="4"/>
  <c r="I628" i="4" s="1"/>
  <c r="G627" i="4"/>
  <c r="I627" i="4" s="1"/>
  <c r="G626" i="4"/>
  <c r="I626" i="4" s="1"/>
  <c r="G625" i="4"/>
  <c r="I625" i="4" s="1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I588" i="4" s="1"/>
  <c r="G587" i="4"/>
  <c r="I587" i="4" s="1"/>
  <c r="G586" i="4"/>
  <c r="I586" i="4" s="1"/>
  <c r="G585" i="4"/>
  <c r="I585" i="4" s="1"/>
  <c r="G584" i="4"/>
  <c r="I584" i="4" s="1"/>
  <c r="G583" i="4"/>
  <c r="I583" i="4" s="1"/>
  <c r="G582" i="4"/>
  <c r="I582" i="4" s="1"/>
  <c r="G581" i="4"/>
  <c r="I581" i="4" s="1"/>
  <c r="G580" i="4"/>
  <c r="I580" i="4" s="1"/>
  <c r="G579" i="4"/>
  <c r="I579" i="4" s="1"/>
  <c r="G578" i="4"/>
  <c r="I578" i="4" s="1"/>
  <c r="G577" i="4"/>
  <c r="I577" i="4" s="1"/>
  <c r="G576" i="4"/>
  <c r="I576" i="4" s="1"/>
  <c r="G575" i="4"/>
  <c r="I575" i="4" s="1"/>
  <c r="G574" i="4"/>
  <c r="I574" i="4" s="1"/>
  <c r="G573" i="4"/>
  <c r="I573" i="4" s="1"/>
  <c r="G572" i="4"/>
  <c r="I572" i="4" s="1"/>
  <c r="G571" i="4"/>
  <c r="I571" i="4" s="1"/>
  <c r="G570" i="4"/>
  <c r="I570" i="4" s="1"/>
  <c r="G569" i="4"/>
  <c r="I569" i="4" s="1"/>
  <c r="G568" i="4"/>
  <c r="I568" i="4" s="1"/>
  <c r="G567" i="4"/>
  <c r="I567" i="4" s="1"/>
  <c r="G566" i="4"/>
  <c r="I566" i="4" s="1"/>
  <c r="G565" i="4"/>
  <c r="I565" i="4" s="1"/>
  <c r="G564" i="4"/>
  <c r="I564" i="4" s="1"/>
  <c r="G563" i="4"/>
  <c r="I563" i="4" s="1"/>
  <c r="G562" i="4"/>
  <c r="I562" i="4" s="1"/>
  <c r="G561" i="4"/>
  <c r="I561" i="4" s="1"/>
  <c r="G560" i="4"/>
  <c r="I560" i="4" s="1"/>
  <c r="G559" i="4"/>
  <c r="I559" i="4" s="1"/>
  <c r="G558" i="4"/>
  <c r="I558" i="4" s="1"/>
  <c r="G557" i="4"/>
  <c r="I557" i="4" s="1"/>
  <c r="G556" i="4"/>
  <c r="I556" i="4" s="1"/>
  <c r="G555" i="4"/>
  <c r="I555" i="4" s="1"/>
  <c r="G554" i="4"/>
  <c r="I554" i="4" s="1"/>
  <c r="G553" i="4"/>
  <c r="I553" i="4" s="1"/>
  <c r="G552" i="4"/>
  <c r="I552" i="4" s="1"/>
  <c r="G551" i="4"/>
  <c r="I551" i="4" s="1"/>
  <c r="G550" i="4"/>
  <c r="I550" i="4" s="1"/>
  <c r="G549" i="4"/>
  <c r="I549" i="4" s="1"/>
  <c r="G548" i="4"/>
  <c r="I548" i="4" s="1"/>
  <c r="G547" i="4"/>
  <c r="I547" i="4" s="1"/>
  <c r="G546" i="4"/>
  <c r="I546" i="4" s="1"/>
  <c r="G545" i="4"/>
  <c r="I545" i="4" s="1"/>
  <c r="G544" i="4"/>
  <c r="I544" i="4" s="1"/>
  <c r="G543" i="4"/>
  <c r="I543" i="4" s="1"/>
  <c r="G542" i="4"/>
  <c r="I542" i="4" s="1"/>
  <c r="G541" i="4"/>
  <c r="I541" i="4" s="1"/>
  <c r="G540" i="4"/>
  <c r="I540" i="4" s="1"/>
  <c r="G539" i="4"/>
  <c r="I539" i="4" s="1"/>
  <c r="G538" i="4"/>
  <c r="I538" i="4" s="1"/>
  <c r="G537" i="4"/>
  <c r="I537" i="4" s="1"/>
  <c r="G536" i="4"/>
  <c r="I536" i="4" s="1"/>
  <c r="G535" i="4"/>
  <c r="I535" i="4" s="1"/>
  <c r="G534" i="4"/>
  <c r="I534" i="4" s="1"/>
  <c r="G533" i="4"/>
  <c r="I533" i="4" s="1"/>
  <c r="G532" i="4"/>
  <c r="I532" i="4" s="1"/>
  <c r="G531" i="4"/>
  <c r="I531" i="4" s="1"/>
  <c r="G530" i="4"/>
  <c r="I530" i="4" s="1"/>
  <c r="G529" i="4"/>
  <c r="I529" i="4" s="1"/>
  <c r="G528" i="4"/>
  <c r="I528" i="4" s="1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I426" i="4" s="1"/>
  <c r="G425" i="4"/>
  <c r="I425" i="4" s="1"/>
  <c r="G424" i="4"/>
  <c r="I424" i="4" s="1"/>
  <c r="G423" i="4"/>
  <c r="I423" i="4" s="1"/>
  <c r="G422" i="4"/>
  <c r="I422" i="4" s="1"/>
  <c r="G421" i="4"/>
  <c r="I421" i="4" s="1"/>
  <c r="G420" i="4"/>
  <c r="I420" i="4" s="1"/>
  <c r="G419" i="4"/>
  <c r="I419" i="4" s="1"/>
  <c r="G418" i="4"/>
  <c r="I418" i="4" s="1"/>
  <c r="G417" i="4"/>
  <c r="I417" i="4" s="1"/>
  <c r="G416" i="4"/>
  <c r="I416" i="4" s="1"/>
  <c r="G415" i="4"/>
  <c r="I415" i="4" s="1"/>
  <c r="G414" i="4"/>
  <c r="I414" i="4" s="1"/>
  <c r="G413" i="4"/>
  <c r="I413" i="4" s="1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I388" i="4" s="1"/>
  <c r="G387" i="4"/>
  <c r="I387" i="4" s="1"/>
  <c r="G386" i="4"/>
  <c r="I386" i="4" s="1"/>
  <c r="G385" i="4"/>
  <c r="I385" i="4" s="1"/>
  <c r="G384" i="4"/>
  <c r="I384" i="4" s="1"/>
  <c r="G383" i="4"/>
  <c r="I383" i="4" s="1"/>
  <c r="G382" i="4"/>
  <c r="I382" i="4" s="1"/>
  <c r="G381" i="4"/>
  <c r="I381" i="4" s="1"/>
  <c r="G380" i="4"/>
  <c r="I380" i="4" s="1"/>
  <c r="G379" i="4"/>
  <c r="I379" i="4" s="1"/>
  <c r="G378" i="4"/>
  <c r="I378" i="4" s="1"/>
  <c r="G377" i="4"/>
  <c r="I377" i="4" s="1"/>
  <c r="G376" i="4"/>
  <c r="I376" i="4" s="1"/>
  <c r="G375" i="4"/>
  <c r="I375" i="4" s="1"/>
  <c r="G374" i="4"/>
  <c r="I374" i="4" s="1"/>
  <c r="G373" i="4"/>
  <c r="I373" i="4" s="1"/>
  <c r="G372" i="4"/>
  <c r="I372" i="4" s="1"/>
  <c r="G371" i="4"/>
  <c r="I371" i="4" s="1"/>
  <c r="G370" i="4"/>
  <c r="I370" i="4" s="1"/>
  <c r="G369" i="4"/>
  <c r="I369" i="4" s="1"/>
  <c r="G368" i="4"/>
  <c r="I368" i="4" s="1"/>
  <c r="G367" i="4"/>
  <c r="I367" i="4" s="1"/>
  <c r="G366" i="4"/>
  <c r="I366" i="4" s="1"/>
  <c r="G365" i="4"/>
  <c r="I365" i="4" s="1"/>
  <c r="G364" i="4"/>
  <c r="I364" i="4" s="1"/>
  <c r="G363" i="4"/>
  <c r="I363" i="4" s="1"/>
  <c r="G362" i="4"/>
  <c r="I362" i="4" s="1"/>
  <c r="G361" i="4"/>
  <c r="I361" i="4" s="1"/>
  <c r="G360" i="4"/>
  <c r="I360" i="4" s="1"/>
  <c r="G359" i="4"/>
  <c r="I359" i="4" s="1"/>
  <c r="G358" i="4"/>
  <c r="I358" i="4" s="1"/>
  <c r="G357" i="4"/>
  <c r="I357" i="4" s="1"/>
  <c r="G356" i="4"/>
  <c r="I356" i="4" s="1"/>
  <c r="G355" i="4"/>
  <c r="I355" i="4" s="1"/>
  <c r="G354" i="4"/>
  <c r="I354" i="4" s="1"/>
  <c r="G353" i="4"/>
  <c r="I353" i="4" s="1"/>
  <c r="G352" i="4"/>
  <c r="I352" i="4" s="1"/>
  <c r="G351" i="4"/>
  <c r="I351" i="4" s="1"/>
  <c r="G350" i="4"/>
  <c r="I350" i="4" s="1"/>
  <c r="G349" i="4"/>
  <c r="I349" i="4" s="1"/>
  <c r="G348" i="4"/>
  <c r="I348" i="4" s="1"/>
  <c r="G347" i="4"/>
  <c r="I347" i="4" s="1"/>
  <c r="G346" i="4"/>
  <c r="I346" i="4" s="1"/>
  <c r="G345" i="4"/>
  <c r="I345" i="4" s="1"/>
  <c r="G344" i="4"/>
  <c r="I344" i="4" s="1"/>
  <c r="G343" i="4"/>
  <c r="I343" i="4" s="1"/>
  <c r="G342" i="4"/>
  <c r="I342" i="4" s="1"/>
  <c r="G341" i="4"/>
  <c r="I341" i="4" s="1"/>
  <c r="G340" i="4"/>
  <c r="I340" i="4" s="1"/>
  <c r="G339" i="4"/>
  <c r="I339" i="4" s="1"/>
  <c r="G338" i="4"/>
  <c r="I338" i="4" s="1"/>
  <c r="G337" i="4"/>
  <c r="I337" i="4" s="1"/>
  <c r="G336" i="4"/>
  <c r="I336" i="4" s="1"/>
  <c r="G335" i="4"/>
  <c r="I335" i="4" s="1"/>
  <c r="G334" i="4"/>
  <c r="I334" i="4" s="1"/>
  <c r="G333" i="4"/>
  <c r="I333" i="4" s="1"/>
  <c r="G332" i="4"/>
  <c r="I332" i="4" s="1"/>
  <c r="G331" i="4"/>
  <c r="I331" i="4" s="1"/>
  <c r="G330" i="4"/>
  <c r="I330" i="4" s="1"/>
  <c r="G329" i="4"/>
  <c r="I329" i="4" s="1"/>
  <c r="G328" i="4"/>
  <c r="I328" i="4" s="1"/>
  <c r="G327" i="4"/>
  <c r="I327" i="4" s="1"/>
  <c r="G326" i="4"/>
  <c r="I326" i="4" s="1"/>
  <c r="G325" i="4"/>
  <c r="I325" i="4" s="1"/>
  <c r="G324" i="4"/>
  <c r="I324" i="4" s="1"/>
  <c r="G323" i="4"/>
  <c r="I323" i="4" s="1"/>
  <c r="G322" i="4"/>
  <c r="I322" i="4" s="1"/>
  <c r="G321" i="4"/>
  <c r="I321" i="4" s="1"/>
  <c r="G320" i="4"/>
  <c r="I320" i="4" s="1"/>
  <c r="G319" i="4"/>
  <c r="I319" i="4" s="1"/>
  <c r="G318" i="4"/>
  <c r="I318" i="4" s="1"/>
  <c r="G317" i="4"/>
  <c r="I317" i="4" s="1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I304" i="4" s="1"/>
  <c r="G303" i="4"/>
  <c r="I303" i="4" s="1"/>
  <c r="G302" i="4"/>
  <c r="I302" i="4" s="1"/>
  <c r="G301" i="4"/>
  <c r="I301" i="4" s="1"/>
  <c r="G300" i="4"/>
  <c r="I300" i="4" s="1"/>
  <c r="G299" i="4"/>
  <c r="I299" i="4" s="1"/>
  <c r="G298" i="4"/>
  <c r="I298" i="4" s="1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I281" i="4" s="1"/>
  <c r="G280" i="4"/>
  <c r="I280" i="4" s="1"/>
  <c r="G279" i="4"/>
  <c r="I279" i="4" s="1"/>
  <c r="G278" i="4"/>
  <c r="I278" i="4" s="1"/>
  <c r="G277" i="4"/>
  <c r="I277" i="4" s="1"/>
  <c r="G276" i="4"/>
  <c r="I276" i="4" s="1"/>
  <c r="G275" i="4"/>
  <c r="I275" i="4" s="1"/>
  <c r="G274" i="4"/>
  <c r="I274" i="4" s="1"/>
  <c r="G273" i="4"/>
  <c r="I273" i="4" s="1"/>
  <c r="G272" i="4"/>
  <c r="I272" i="4" s="1"/>
  <c r="G271" i="4"/>
  <c r="I271" i="4" s="1"/>
  <c r="G270" i="4"/>
  <c r="I270" i="4" s="1"/>
  <c r="G269" i="4"/>
  <c r="I269" i="4" s="1"/>
  <c r="G268" i="4"/>
  <c r="I268" i="4" s="1"/>
  <c r="G267" i="4"/>
  <c r="I267" i="4" s="1"/>
  <c r="G266" i="4"/>
  <c r="I266" i="4" s="1"/>
  <c r="G265" i="4"/>
  <c r="I265" i="4" s="1"/>
  <c r="G264" i="4"/>
  <c r="I264" i="4" s="1"/>
  <c r="G263" i="4"/>
  <c r="I263" i="4" s="1"/>
  <c r="G262" i="4"/>
  <c r="I262" i="4" s="1"/>
  <c r="G261" i="4"/>
  <c r="I261" i="4" s="1"/>
  <c r="G260" i="4"/>
  <c r="I260" i="4" s="1"/>
  <c r="G259" i="4"/>
  <c r="I259" i="4" s="1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I233" i="4" s="1"/>
  <c r="G232" i="4"/>
  <c r="I232" i="4" s="1"/>
  <c r="G231" i="4"/>
  <c r="I231" i="4" s="1"/>
  <c r="G230" i="4"/>
  <c r="I230" i="4" s="1"/>
  <c r="G229" i="4"/>
  <c r="I229" i="4" s="1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I127" i="4" s="1"/>
  <c r="G126" i="4"/>
  <c r="I126" i="4" s="1"/>
  <c r="G125" i="4"/>
  <c r="I125" i="4" s="1"/>
  <c r="G124" i="4"/>
  <c r="I124" i="4" s="1"/>
  <c r="G123" i="4"/>
  <c r="I123" i="4" s="1"/>
  <c r="G122" i="4"/>
  <c r="I122" i="4" s="1"/>
  <c r="G121" i="4"/>
  <c r="I121" i="4" s="1"/>
  <c r="G120" i="4"/>
  <c r="I120" i="4" s="1"/>
  <c r="G119" i="4"/>
  <c r="I119" i="4" s="1"/>
  <c r="G118" i="4"/>
  <c r="I118" i="4" s="1"/>
  <c r="G117" i="4"/>
  <c r="I117" i="4" s="1"/>
  <c r="G116" i="4"/>
  <c r="I116" i="4" s="1"/>
  <c r="G115" i="4"/>
  <c r="I115" i="4" s="1"/>
  <c r="G114" i="4"/>
  <c r="I114" i="4" s="1"/>
  <c r="G113" i="4"/>
  <c r="I113" i="4" s="1"/>
  <c r="G112" i="4"/>
  <c r="I112" i="4" s="1"/>
  <c r="G111" i="4"/>
  <c r="I111" i="4" s="1"/>
  <c r="G110" i="4"/>
  <c r="I110" i="4" s="1"/>
  <c r="G109" i="4"/>
  <c r="I109" i="4" s="1"/>
  <c r="G108" i="4"/>
  <c r="I108" i="4" s="1"/>
  <c r="G107" i="4"/>
  <c r="I107" i="4" s="1"/>
  <c r="G106" i="4"/>
  <c r="I106" i="4" s="1"/>
  <c r="G105" i="4"/>
  <c r="I105" i="4" s="1"/>
  <c r="G104" i="4"/>
  <c r="I104" i="4" s="1"/>
  <c r="G103" i="4"/>
  <c r="I103" i="4" s="1"/>
  <c r="G102" i="4"/>
  <c r="I102" i="4" s="1"/>
  <c r="G101" i="4"/>
  <c r="I101" i="4" s="1"/>
  <c r="G100" i="4"/>
  <c r="I100" i="4" s="1"/>
  <c r="G99" i="4"/>
  <c r="I99" i="4" s="1"/>
  <c r="G98" i="4"/>
  <c r="I98" i="4" s="1"/>
  <c r="G97" i="4"/>
  <c r="I97" i="4" s="1"/>
  <c r="G96" i="4"/>
  <c r="I96" i="4" s="1"/>
  <c r="G95" i="4"/>
  <c r="I95" i="4" s="1"/>
  <c r="G94" i="4"/>
  <c r="I94" i="4" s="1"/>
  <c r="G93" i="4"/>
  <c r="I93" i="4" s="1"/>
  <c r="G92" i="4"/>
  <c r="I92" i="4" s="1"/>
  <c r="G91" i="4"/>
  <c r="I91" i="4" s="1"/>
  <c r="G90" i="4"/>
  <c r="I90" i="4" s="1"/>
  <c r="G89" i="4"/>
  <c r="I89" i="4" s="1"/>
  <c r="G88" i="4"/>
  <c r="I88" i="4" s="1"/>
  <c r="G87" i="4"/>
  <c r="I87" i="4" s="1"/>
  <c r="G86" i="4"/>
  <c r="I86" i="4" s="1"/>
  <c r="G85" i="4"/>
  <c r="I85" i="4" s="1"/>
  <c r="G84" i="4"/>
  <c r="I84" i="4" s="1"/>
  <c r="G83" i="4"/>
  <c r="I83" i="4" s="1"/>
  <c r="G82" i="4"/>
  <c r="I82" i="4" s="1"/>
  <c r="G81" i="4"/>
  <c r="I81" i="4" s="1"/>
  <c r="G80" i="4"/>
  <c r="I80" i="4" s="1"/>
  <c r="G79" i="4"/>
  <c r="I79" i="4" s="1"/>
  <c r="G78" i="4"/>
  <c r="I78" i="4" s="1"/>
  <c r="G77" i="4"/>
  <c r="I77" i="4" s="1"/>
  <c r="G76" i="4"/>
  <c r="I76" i="4" s="1"/>
  <c r="G75" i="4"/>
  <c r="I75" i="4" s="1"/>
  <c r="G74" i="4"/>
  <c r="I74" i="4" s="1"/>
  <c r="G73" i="4"/>
  <c r="I73" i="4" s="1"/>
  <c r="G72" i="4"/>
  <c r="I72" i="4" s="1"/>
  <c r="G71" i="4"/>
  <c r="I71" i="4" s="1"/>
  <c r="G70" i="4"/>
  <c r="I70" i="4" s="1"/>
  <c r="G69" i="4"/>
  <c r="I69" i="4" s="1"/>
  <c r="G68" i="4"/>
  <c r="I68" i="4" s="1"/>
  <c r="G67" i="4"/>
  <c r="I67" i="4" s="1"/>
  <c r="G66" i="4"/>
  <c r="I66" i="4" s="1"/>
  <c r="G65" i="4"/>
  <c r="I65" i="4" s="1"/>
  <c r="G64" i="4"/>
  <c r="I64" i="4" s="1"/>
  <c r="G63" i="4"/>
  <c r="I63" i="4" s="1"/>
  <c r="G62" i="4"/>
  <c r="I62" i="4" s="1"/>
  <c r="G61" i="4"/>
  <c r="I61" i="4" s="1"/>
  <c r="G60" i="4"/>
  <c r="I60" i="4" s="1"/>
  <c r="G59" i="4"/>
  <c r="I59" i="4" s="1"/>
  <c r="G58" i="4"/>
  <c r="I58" i="4" s="1"/>
  <c r="G57" i="4"/>
  <c r="I57" i="4" s="1"/>
  <c r="G56" i="4"/>
  <c r="I56" i="4" s="1"/>
  <c r="G55" i="4"/>
  <c r="I55" i="4" s="1"/>
  <c r="G54" i="4"/>
  <c r="I54" i="4" s="1"/>
  <c r="G53" i="4"/>
  <c r="I53" i="4" s="1"/>
  <c r="G52" i="4"/>
  <c r="I52" i="4" s="1"/>
  <c r="G51" i="4"/>
  <c r="I51" i="4" s="1"/>
  <c r="G50" i="4"/>
  <c r="I50" i="4" s="1"/>
  <c r="G49" i="4"/>
  <c r="I49" i="4" s="1"/>
  <c r="G48" i="4"/>
  <c r="I48" i="4" s="1"/>
  <c r="G47" i="4"/>
  <c r="I47" i="4" s="1"/>
  <c r="G46" i="4"/>
  <c r="I46" i="4" s="1"/>
  <c r="G45" i="4"/>
  <c r="I45" i="4" s="1"/>
  <c r="G44" i="4"/>
  <c r="I44" i="4" s="1"/>
  <c r="G43" i="4"/>
  <c r="I43" i="4" s="1"/>
  <c r="G42" i="4"/>
  <c r="I42" i="4" s="1"/>
  <c r="G41" i="4"/>
  <c r="I41" i="4" s="1"/>
  <c r="G40" i="4"/>
  <c r="I40" i="4" s="1"/>
  <c r="G39" i="4"/>
  <c r="I39" i="4" s="1"/>
  <c r="G38" i="4"/>
  <c r="I38" i="4" s="1"/>
  <c r="G37" i="4"/>
  <c r="I37" i="4" s="1"/>
  <c r="G36" i="4"/>
  <c r="I36" i="4" s="1"/>
  <c r="G35" i="4"/>
  <c r="I35" i="4" s="1"/>
  <c r="G34" i="4"/>
  <c r="I34" i="4" s="1"/>
  <c r="G33" i="4"/>
  <c r="I33" i="4" s="1"/>
  <c r="G32" i="4"/>
  <c r="I32" i="4" s="1"/>
  <c r="G31" i="4"/>
  <c r="I31" i="4" s="1"/>
  <c r="G30" i="4"/>
  <c r="I30" i="4" s="1"/>
  <c r="G29" i="4"/>
  <c r="I29" i="4" s="1"/>
  <c r="G28" i="4"/>
  <c r="I28" i="4" s="1"/>
  <c r="G27" i="4"/>
  <c r="I27" i="4" s="1"/>
  <c r="G26" i="4"/>
  <c r="I26" i="4" s="1"/>
  <c r="G25" i="4"/>
  <c r="I25" i="4" s="1"/>
  <c r="G24" i="4"/>
  <c r="I24" i="4" s="1"/>
  <c r="G23" i="4"/>
  <c r="I23" i="4" s="1"/>
  <c r="G22" i="4"/>
  <c r="I22" i="4" s="1"/>
  <c r="G21" i="4"/>
  <c r="I21" i="4" s="1"/>
  <c r="G20" i="4"/>
  <c r="I20" i="4" s="1"/>
  <c r="G19" i="4"/>
  <c r="I19" i="4" s="1"/>
  <c r="G18" i="4"/>
  <c r="I18" i="4" s="1"/>
  <c r="G17" i="4"/>
  <c r="I17" i="4" s="1"/>
  <c r="G16" i="4"/>
  <c r="I16" i="4" s="1"/>
  <c r="G15" i="4"/>
  <c r="I15" i="4" s="1"/>
  <c r="G14" i="4"/>
  <c r="I14" i="4" s="1"/>
  <c r="G13" i="4"/>
  <c r="I13" i="4" s="1"/>
  <c r="G12" i="4"/>
  <c r="I12" i="4" s="1"/>
  <c r="G11" i="4"/>
  <c r="I256" i="4"/>
  <c r="I257" i="4"/>
  <c r="I258" i="4"/>
  <c r="I434" i="4"/>
  <c r="I433" i="4"/>
  <c r="I432" i="4"/>
  <c r="I431" i="4"/>
  <c r="I430" i="4"/>
  <c r="I429" i="4"/>
  <c r="I428" i="4"/>
  <c r="I427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11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633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C21" i="1"/>
  <c r="C22" i="1"/>
  <c r="C5" i="3"/>
  <c r="I54" i="2"/>
  <c r="J54" i="2" s="1"/>
  <c r="I53" i="2"/>
  <c r="J53" i="2" s="1"/>
  <c r="I52" i="2"/>
  <c r="J52" i="2" s="1"/>
  <c r="I51" i="2"/>
  <c r="J51" i="2" s="1"/>
  <c r="I50" i="2"/>
  <c r="J50" i="2" s="1"/>
  <c r="I49" i="2"/>
  <c r="J49" i="2" s="1"/>
  <c r="I48" i="2"/>
  <c r="J48" i="2" s="1"/>
  <c r="I47" i="2"/>
  <c r="J47" i="2" s="1"/>
  <c r="I46" i="2"/>
  <c r="J46" i="2" s="1"/>
  <c r="I45" i="2"/>
  <c r="J45" i="2" s="1"/>
  <c r="I44" i="2"/>
  <c r="J44" i="2" s="1"/>
  <c r="I43" i="2"/>
  <c r="J43" i="2" s="1"/>
  <c r="I42" i="2"/>
  <c r="J42" i="2" s="1"/>
  <c r="I41" i="2"/>
  <c r="J41" i="2" s="1"/>
  <c r="I40" i="2"/>
  <c r="J40" i="2" s="1"/>
  <c r="I39" i="2"/>
  <c r="J39" i="2" s="1"/>
  <c r="I38" i="2"/>
  <c r="J38" i="2" s="1"/>
  <c r="I37" i="2"/>
  <c r="J37" i="2" s="1"/>
  <c r="I36" i="2"/>
  <c r="J36" i="2" s="1"/>
  <c r="I35" i="2"/>
  <c r="J35" i="2" s="1"/>
  <c r="I34" i="2"/>
  <c r="J34" i="2" s="1"/>
  <c r="I33" i="2"/>
  <c r="J33" i="2" s="1"/>
  <c r="I32" i="2"/>
  <c r="J32" i="2" s="1"/>
  <c r="I31" i="2"/>
  <c r="J31" i="2" s="1"/>
  <c r="I30" i="2"/>
  <c r="J30" i="2" s="1"/>
  <c r="I29" i="2"/>
  <c r="J29" i="2" s="1"/>
  <c r="I28" i="2"/>
  <c r="J28" i="2" s="1"/>
  <c r="I27" i="2"/>
  <c r="J27" i="2" s="1"/>
  <c r="I26" i="2"/>
  <c r="J26" i="2" s="1"/>
  <c r="I25" i="2"/>
  <c r="J25" i="2" s="1"/>
  <c r="I24" i="2"/>
  <c r="J24" i="2" s="1"/>
  <c r="I23" i="2"/>
  <c r="J23" i="2" s="1"/>
  <c r="I22" i="2"/>
  <c r="J22" i="2" s="1"/>
  <c r="I21" i="2"/>
  <c r="J21" i="2" s="1"/>
  <c r="I20" i="2"/>
  <c r="J20" i="2" s="1"/>
  <c r="I19" i="2"/>
  <c r="J19" i="2" s="1"/>
  <c r="I18" i="2"/>
  <c r="J18" i="2" s="1"/>
  <c r="I17" i="2"/>
  <c r="J17" i="2" s="1"/>
  <c r="I16" i="2"/>
  <c r="J16" i="2" s="1"/>
  <c r="I15" i="2"/>
  <c r="J15" i="2" s="1"/>
  <c r="I14" i="2"/>
  <c r="J14" i="2" s="1"/>
  <c r="I13" i="2"/>
  <c r="J13" i="2" s="1"/>
  <c r="I12" i="2"/>
  <c r="J12" i="2" s="1"/>
  <c r="I11" i="2"/>
  <c r="J11" i="2" s="1"/>
  <c r="I10" i="2"/>
  <c r="J10" i="2" s="1"/>
  <c r="I9" i="2"/>
  <c r="J9" i="2" s="1"/>
  <c r="I8" i="2"/>
  <c r="J8" i="2" s="1"/>
  <c r="I7" i="2"/>
  <c r="J7" i="2" s="1"/>
  <c r="I6" i="2"/>
  <c r="J6" i="2" s="1"/>
  <c r="C20" i="1"/>
  <c r="I128" i="4" l="1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C6" i="3"/>
  <c r="C7" i="3"/>
  <c r="C8" i="3"/>
  <c r="C11" i="3"/>
  <c r="C12" i="3"/>
  <c r="C13" i="3" l="1"/>
</calcChain>
</file>

<file path=xl/sharedStrings.xml><?xml version="1.0" encoding="utf-8"?>
<sst xmlns="http://schemas.openxmlformats.org/spreadsheetml/2006/main" count="1466" uniqueCount="755">
  <si>
    <t>TEMPLATE LAPORAN STOCK OPNAME</t>
  </si>
  <si>
    <t>Gratis dari HashMicro — hashmicro.com</t>
  </si>
  <si>
    <t>CARA PAKAI</t>
  </si>
  <si>
    <t>Langkah 1</t>
  </si>
  <si>
    <t>Buka sheet 'TEMPLATE OPNAME' — jangan edit baris header (baris 1-3).</t>
  </si>
  <si>
    <t>Langkah 2</t>
  </si>
  <si>
    <t>Isi kolom Kode SKU, Nama Barang, Satuan, dan Stok Sistem dari data sistem Anda.</t>
  </si>
  <si>
    <t>Langkah 3</t>
  </si>
  <si>
    <t>Setelah penghitungan fisik selesai, isi kolom Stok Fisik.</t>
  </si>
  <si>
    <t>Langkah 4</t>
  </si>
  <si>
    <t>Kolom Selisih dan Status terisi otomatis via formula.</t>
  </si>
  <si>
    <t>Langkah 5</t>
  </si>
  <si>
    <t>Isi kolom Keterangan jika ada penyebab selisih yang perlu dicatat.</t>
  </si>
  <si>
    <t>Langkah 6</t>
  </si>
  <si>
    <t>Lihat sheet 'RINGKASAN' untuk rekap otomatis per status.</t>
  </si>
  <si>
    <t>WARNA STATUS</t>
  </si>
  <si>
    <t>Merah</t>
  </si>
  <si>
    <t>Stok Fisik &lt; Stok Sistem  →  barang kurang / hilang</t>
  </si>
  <si>
    <t>Hijau</t>
  </si>
  <si>
    <t>Stok Fisik &gt; Stok Sistem  →  surplus / penerimaan belum dicatat</t>
  </si>
  <si>
    <t>Abu-abu</t>
  </si>
  <si>
    <t>Stok Fisik = Stok Sistem  →  sesuai, tidak ada selisih</t>
  </si>
  <si>
    <t>FORMULA</t>
  </si>
  <si>
    <t>Selisih</t>
  </si>
  <si>
    <t>Status</t>
  </si>
  <si>
    <t>Ringkasan</t>
  </si>
  <si>
    <t>Nama Gudang: ___________________   Tanggal: ___________________   PIC: ___________________</t>
  </si>
  <si>
    <t>No</t>
  </si>
  <si>
    <t>Kode SKU</t>
  </si>
  <si>
    <t>Nama Barang</t>
  </si>
  <si>
    <t>Satuan</t>
  </si>
  <si>
    <t>Stok Sistem</t>
  </si>
  <si>
    <t>Stok Fisik</t>
  </si>
  <si>
    <t>Keterangan</t>
  </si>
  <si>
    <t>RINGKASAN STOCK OPNAME</t>
  </si>
  <si>
    <t>ITEM</t>
  </si>
  <si>
    <t>Jumlah</t>
  </si>
  <si>
    <t>Total SKU diperiksa</t>
  </si>
  <si>
    <t>item</t>
  </si>
  <si>
    <t>Item Status OK</t>
  </si>
  <si>
    <t>Item Kurang</t>
  </si>
  <si>
    <t>Item Surplus</t>
  </si>
  <si>
    <t>SELISIH</t>
  </si>
  <si>
    <t>Nilai</t>
  </si>
  <si>
    <t>Total Unit Kurang</t>
  </si>
  <si>
    <t>unit</t>
  </si>
  <si>
    <t>Total Unit Surplus</t>
  </si>
  <si>
    <t>Net Selisih</t>
  </si>
  <si>
    <t>LAPORAN STOCK OPNAME JE BEAUTY STORE</t>
  </si>
  <si>
    <t>GLAD2GLOW MOIST POME 30GR</t>
  </si>
  <si>
    <t>CINCIN TITANIUM</t>
  </si>
  <si>
    <t>GLAD2GLOW PERFECT VIT MW 300ML</t>
  </si>
  <si>
    <t>GLAD2GLOW DARK SPOT SERUM 17ML</t>
  </si>
  <si>
    <t>GLAD2GLOW MOIST 377 FW 30GR</t>
  </si>
  <si>
    <t>MAYBELLINE SSMI 335</t>
  </si>
  <si>
    <t>SKINTIFIC NIA BRIGHT CLEANSER</t>
  </si>
  <si>
    <t>MATRIX SMOOTHING</t>
  </si>
  <si>
    <t>MBK DEODORANT BLACK</t>
  </si>
  <si>
    <t>Buah</t>
  </si>
  <si>
    <t>masker duckbill</t>
  </si>
  <si>
    <t>JPR 05/565/LC</t>
  </si>
  <si>
    <t>JPIRAL 10.281/JJ</t>
  </si>
  <si>
    <t xml:space="preserve">BOTOL MINUM </t>
  </si>
  <si>
    <t>RAMBUT KOKURYA</t>
  </si>
  <si>
    <t>SISIR BLOW</t>
  </si>
  <si>
    <t>DOMPET CARD</t>
  </si>
  <si>
    <t>JEPIT AR</t>
  </si>
  <si>
    <t>SHOWER CUP</t>
  </si>
  <si>
    <t>JEPIT LIDI</t>
  </si>
  <si>
    <t>POTONG KUKU</t>
  </si>
  <si>
    <t>BANDANA</t>
  </si>
  <si>
    <t xml:space="preserve">JEDAI </t>
  </si>
  <si>
    <t>JEPIT SALON BESI MH NL</t>
  </si>
  <si>
    <t>BULU MATA</t>
  </si>
  <si>
    <t xml:space="preserve">BANDO </t>
  </si>
  <si>
    <t xml:space="preserve">KARET SRANCY </t>
  </si>
  <si>
    <t>JEPIT ANAK</t>
  </si>
  <si>
    <t>ROLL</t>
  </si>
  <si>
    <t>CUKUR</t>
  </si>
  <si>
    <t>SPONS SET HALUS</t>
  </si>
  <si>
    <t>SPOND BLEND</t>
  </si>
  <si>
    <t>SPON SET</t>
  </si>
  <si>
    <t>PEJEPIT BULU MATA</t>
  </si>
  <si>
    <t xml:space="preserve">ALAT KOMEDO </t>
  </si>
  <si>
    <t>KARET SET 6 KL</t>
  </si>
  <si>
    <t>KARET TABUNG</t>
  </si>
  <si>
    <t>BANDO KEROPI MLL</t>
  </si>
  <si>
    <t>KARET</t>
  </si>
  <si>
    <t>PCS</t>
  </si>
  <si>
    <t>PANTENE SHP L BLACK 12X10 ML</t>
  </si>
  <si>
    <t>ZINC SHP H FAL TRT 12X10 ML</t>
  </si>
  <si>
    <t>EMERON SHP DANDRUFF 12X12 ML</t>
  </si>
  <si>
    <t>LIFEBOY SHP SOFT A DNDRF 12X9 ML</t>
  </si>
  <si>
    <t>PANTENE SHP AD 12X10 ML</t>
  </si>
  <si>
    <t>REJOICE SHP SOFT &amp;SMOTH 12X11 ML</t>
  </si>
  <si>
    <t>ZINC SHP REFF COOL 12X10 ML</t>
  </si>
  <si>
    <t>LIFEBOY SHP STRO&amp;SH 12X9 ML</t>
  </si>
  <si>
    <t>ZINC SHP BLCK SHIN 12X10 ML</t>
  </si>
  <si>
    <t>REJOICE SHPS BLACK 12X10 ML</t>
  </si>
  <si>
    <t>ZINC SHP CLN ACT 12X10 ML</t>
  </si>
  <si>
    <t>PANTENE SHP NC FL 12X10 ML</t>
  </si>
  <si>
    <t>ZINK SHAMPOO AKTIF LEMON MI</t>
  </si>
  <si>
    <t>PANTENE SHP DMR 12X10 ML</t>
  </si>
  <si>
    <t>EMERON SHP BLC SHINE 12X12 ML</t>
  </si>
  <si>
    <t>EMERON SHP SOFT SMOTH  12X12 ML</t>
  </si>
  <si>
    <t>PANTENE SHP SOFT TOT DC 12x12 ml</t>
  </si>
  <si>
    <t>Tone Nail Polish matte</t>
  </si>
  <si>
    <t>Tone Nail Polish Glossy</t>
  </si>
  <si>
    <t>Implora Nail Red 04</t>
  </si>
  <si>
    <t>Implora Nail Red 05</t>
  </si>
  <si>
    <t>Implora Nail Wonder 05</t>
  </si>
  <si>
    <t>Implora Nail Wonder 02</t>
  </si>
  <si>
    <t>Garnier sakura Day CRM UV 20 ML</t>
  </si>
  <si>
    <t>Garnier BC Anti Acne Foam 100ML</t>
  </si>
  <si>
    <t>Garnier sakura F foam 100ML</t>
  </si>
  <si>
    <t>Wardah Light Face Mist 60ML</t>
  </si>
  <si>
    <t>Pixi Mousse Moments 02 BM</t>
  </si>
  <si>
    <t>Pixi Mousse Moments 01 CIR</t>
  </si>
  <si>
    <t>Pixi Mousse Moments 04 RP</t>
  </si>
  <si>
    <t>Pixi Mousse Moments 06 EF</t>
  </si>
  <si>
    <t>Whitelab serum hydrating 20 ML</t>
  </si>
  <si>
    <t>Whitelab barmoist gel ceramug 20Gr</t>
  </si>
  <si>
    <t>Pixi REFF PWC 04 Ivory</t>
  </si>
  <si>
    <t>Pixi REFF PWC 07 CB</t>
  </si>
  <si>
    <t>Aha Body boost bright serum 30ML</t>
  </si>
  <si>
    <t>Bio Oil 25ML</t>
  </si>
  <si>
    <t>Skinouru Moist Gel less for more 30Gr</t>
  </si>
  <si>
    <t>Herborist Minyak zaitun 150ML</t>
  </si>
  <si>
    <t>Herborist Exvo gel OC 150</t>
  </si>
  <si>
    <t>Herborist Exvo gel AB 150</t>
  </si>
  <si>
    <t>Aha Body Boost Bright Soap 80Gr</t>
  </si>
  <si>
    <t>Pons WB CLSR Milk 150ML</t>
  </si>
  <si>
    <t>Pons Ultimate clarity bright FF 50Gr</t>
  </si>
  <si>
    <t>Pons BB Light Toner 150ML</t>
  </si>
  <si>
    <t xml:space="preserve">Whitelab FW PH Balanca 100Gr New </t>
  </si>
  <si>
    <t>Pons CLSR Water Melon Ext 90Gr</t>
  </si>
  <si>
    <t>Fair &amp; Lovely Mul Vit FF 50Gr</t>
  </si>
  <si>
    <t>Herborist BS OC 180ML</t>
  </si>
  <si>
    <t>Scarlet Sooth &amp; Hydra gel mask</t>
  </si>
  <si>
    <t>Shinzui BS Kenzo 200Gr</t>
  </si>
  <si>
    <t>Npure Acne Fighter starter kit</t>
  </si>
  <si>
    <t>Leivy SC Goat Milk 250Gr Reff</t>
  </si>
  <si>
    <t>Selection Kapas 50Gr</t>
  </si>
  <si>
    <t>Selection Kapas 35 Gr</t>
  </si>
  <si>
    <t>Implora lib moist serum 2.85G</t>
  </si>
  <si>
    <t xml:space="preserve">Implora Eyeliner pen </t>
  </si>
  <si>
    <t xml:space="preserve">Implora ESD Dawn Pall </t>
  </si>
  <si>
    <t>Hanasui Boba EDT LC 01 FB</t>
  </si>
  <si>
    <t>Hanasui Boba EDT LC 05 CP</t>
  </si>
  <si>
    <t>Hanasui Boba EDT LC 02 BS</t>
  </si>
  <si>
    <t>Hanasui Boba EDT LC 03 SC</t>
  </si>
  <si>
    <t>Hanasui Libkrim Matcha blend</t>
  </si>
  <si>
    <t xml:space="preserve">Bravos nail Polish Bijian </t>
  </si>
  <si>
    <t xml:space="preserve">Marimar Kutek Gliter </t>
  </si>
  <si>
    <t xml:space="preserve">Bravos Nail Polish Peel off </t>
  </si>
  <si>
    <t>Salsa Nail Polish Remover 40 ML</t>
  </si>
  <si>
    <t>Garnier COL Nat Ex.3 scht</t>
  </si>
  <si>
    <t>Garnier COL Nat Ex.3.16 scht</t>
  </si>
  <si>
    <t>Garnier COL Nat Ex.6.64 sct New</t>
  </si>
  <si>
    <t>Natur E HBL AD advance 245 ML</t>
  </si>
  <si>
    <t>Miranda Semir MC 17</t>
  </si>
  <si>
    <t>Miranda Semir MC 6</t>
  </si>
  <si>
    <t>Miranda Semir MC 9</t>
  </si>
  <si>
    <t>Miranda Semir MC 18</t>
  </si>
  <si>
    <t>Miranda Semir MC 16</t>
  </si>
  <si>
    <t xml:space="preserve">MYB Mascara Colossal Black </t>
  </si>
  <si>
    <t>Wardah Maskara Aqua Lash</t>
  </si>
  <si>
    <t>MKZ HE CRB Olive SCT 30 ML</t>
  </si>
  <si>
    <t>Makarizo HE SHP Aloe SCT 10ML</t>
  </si>
  <si>
    <t xml:space="preserve">Selection Cotton BUD 100PCS </t>
  </si>
  <si>
    <t>Nivea EW HBL RAD&amp;SM 50 ML</t>
  </si>
  <si>
    <t>MKZ He Scent  Ocean BreeZe 30ML</t>
  </si>
  <si>
    <t>MKZ He Scent  Fresh Bouq 30ML</t>
  </si>
  <si>
    <t>MKZ He Scent  Morning DEW 30ML</t>
  </si>
  <si>
    <t>Citra HBL Sakura fair UV 230 ML</t>
  </si>
  <si>
    <t>Vaselin HB Fresh &amp; Glow Serum 180 ML</t>
  </si>
  <si>
    <t>Garnier PA Scrub 100ML</t>
  </si>
  <si>
    <t>Garnier PA Foam 100ML</t>
  </si>
  <si>
    <t xml:space="preserve">Herborist Luman Aloe 100Gr </t>
  </si>
  <si>
    <t>Herborist Luman GT 100Gr New</t>
  </si>
  <si>
    <t xml:space="preserve">Xi Xiu Divane Eyeliner pen porple </t>
  </si>
  <si>
    <t>Xi Xiu Lovly Mascara &amp; Volumizing</t>
  </si>
  <si>
    <t>Hanasui Naturgo peel off Black</t>
  </si>
  <si>
    <t xml:space="preserve">Hanasui Gold Peel Off Mask New </t>
  </si>
  <si>
    <t xml:space="preserve">Hanasui Egg White Peel off Mask </t>
  </si>
  <si>
    <t xml:space="preserve">Kojic colagen HBL 230ML </t>
  </si>
  <si>
    <t>Fameux Bleach 250 ML</t>
  </si>
  <si>
    <t>Viva Pelembab Cair GT 30ML</t>
  </si>
  <si>
    <t xml:space="preserve">Viva Pelembab </t>
  </si>
  <si>
    <t>Vaselin Cocoa Radiant 200ML</t>
  </si>
  <si>
    <t>Nivea EW HBL RAD&amp;Smooth 200ML</t>
  </si>
  <si>
    <t>Nivea EW HBL Night Nour 200 ML</t>
  </si>
  <si>
    <t>Nivea EW HBL R&amp;P 200ML</t>
  </si>
  <si>
    <t>Citra HBL Pearly White UV 230ML</t>
  </si>
  <si>
    <t xml:space="preserve">Nivea Roll Pearl&amp;Beauty 50ML </t>
  </si>
  <si>
    <t xml:space="preserve">Nivea Roll White Anti Bacteri 50ML </t>
  </si>
  <si>
    <t xml:space="preserve">Nivea Roll Happy Shave 50ML </t>
  </si>
  <si>
    <t xml:space="preserve">Nivea Roll Fresh ACT 50ML </t>
  </si>
  <si>
    <t xml:space="preserve">Nivea Roll Silver Pro 50ML </t>
  </si>
  <si>
    <t xml:space="preserve">Nivea Roll Man Cool Freeze 50ML </t>
  </si>
  <si>
    <t xml:space="preserve">Nivea Roll On Deep 50ML </t>
  </si>
  <si>
    <t>Viva Water Drop Sleep mask</t>
  </si>
  <si>
    <t>Mustika Ratu Minyak Zaitun 175 ML</t>
  </si>
  <si>
    <t>Nivea Ext Bright 10 super vit 180 ML</t>
  </si>
  <si>
    <t xml:space="preserve">MYB SSMI 225 Delicate </t>
  </si>
  <si>
    <t>MYB SSMI 150 Savant</t>
  </si>
  <si>
    <t>MYB SSMI 130 SLF STR</t>
  </si>
  <si>
    <t>MYB SSMI 117 Gr BKR</t>
  </si>
  <si>
    <t xml:space="preserve">MYB SSMI 70 Amazonian </t>
  </si>
  <si>
    <t xml:space="preserve">MYB SSMI 80 Ruller </t>
  </si>
  <si>
    <t xml:space="preserve">MYB SSMI 20 Pioneer </t>
  </si>
  <si>
    <t>MYB Maskara NEW Hyte curl</t>
  </si>
  <si>
    <t>Myb Fit FE FDT Mat+Tore 125 30 ML Pump</t>
  </si>
  <si>
    <t>Myb Fit FE FDT Mat+Tore 123</t>
  </si>
  <si>
    <t>Myb Fit FE FDT Mat+Tore 221</t>
  </si>
  <si>
    <t xml:space="preserve">Saviosa hydra Glow Serum </t>
  </si>
  <si>
    <t>Saviosa hydra Glow Cream</t>
  </si>
  <si>
    <t xml:space="preserve">Saviosa hydra Glow Toner </t>
  </si>
  <si>
    <t>Bioaqua Mask Matcha Gt 20 gr</t>
  </si>
  <si>
    <t>Emina Bright Stuff S.Mask</t>
  </si>
  <si>
    <t>Emina Bright Stuff Loose PWD 55Gr</t>
  </si>
  <si>
    <t>Emina Mat BB CRL 03 Car</t>
  </si>
  <si>
    <t>Emina Mat BB CRL 02 Nat</t>
  </si>
  <si>
    <t>Emina Mat BB CRL 01 Light</t>
  </si>
  <si>
    <t>Emina Aloe Face Mist 60 ML</t>
  </si>
  <si>
    <t>Wardah Exc LC 23 Ras</t>
  </si>
  <si>
    <t>Wardah Exc LC 22 RV</t>
  </si>
  <si>
    <t>Wardah Exc LC 19 HAB</t>
  </si>
  <si>
    <t>Wardah Exc LC 16</t>
  </si>
  <si>
    <t xml:space="preserve">Wardah Exc LC 12 </t>
  </si>
  <si>
    <t>Wardah Exc LC 09 Mouve On</t>
  </si>
  <si>
    <t>Wardah Exc LC 01 Red-DICTED</t>
  </si>
  <si>
    <t xml:space="preserve">Wardah Eyebrow Pen Brown </t>
  </si>
  <si>
    <t xml:space="preserve">Wardah eyexpert optimus liner </t>
  </si>
  <si>
    <t>Wardah eyexpert terf curl Mascara</t>
  </si>
  <si>
    <t>Wardah lum face PWD 04 nat</t>
  </si>
  <si>
    <t xml:space="preserve">Wardah lum face PWD 02 Beige </t>
  </si>
  <si>
    <t>Wardah Light BB CRM Nat 30 ML</t>
  </si>
  <si>
    <t>Wardah Light BB CRM Light 30 ML</t>
  </si>
  <si>
    <t>Wardah Light OYO INF MICELLAF 100ML</t>
  </si>
  <si>
    <t>Wardah Acne dern nic WTR 100ML</t>
  </si>
  <si>
    <t>Somethinc Serum sabi beet 5% 20ML</t>
  </si>
  <si>
    <t>Natrep Aloe 92% SooThing Gel 300ML</t>
  </si>
  <si>
    <t>Scarlet HBL Tube Jolly</t>
  </si>
  <si>
    <t>Scarlet HBL Tube Romansa</t>
  </si>
  <si>
    <t>Scarlet BC Loving</t>
  </si>
  <si>
    <t>Scarlet BC Happy</t>
  </si>
  <si>
    <t xml:space="preserve">Scarlet HBL Romansa </t>
  </si>
  <si>
    <t>Scarlet HBL Freshy</t>
  </si>
  <si>
    <t>Scarlet HBL Loving</t>
  </si>
  <si>
    <t>Scarlet SC Freshy</t>
  </si>
  <si>
    <t>Scarlet SC Happy</t>
  </si>
  <si>
    <t xml:space="preserve">Scarlet SC Charming </t>
  </si>
  <si>
    <t>Scarlet BS Happy</t>
  </si>
  <si>
    <t xml:space="preserve">Scarlet BS Charming </t>
  </si>
  <si>
    <t>Somethinc Serum Revive Potion 20 ML</t>
  </si>
  <si>
    <t>Somethinc Serum 3% Asta+CHLO 20 ML</t>
  </si>
  <si>
    <t>Somethinc Serum Vita Propolis 20 ML</t>
  </si>
  <si>
    <t>Kahf serum B&amp;T Reff Serum</t>
  </si>
  <si>
    <t>Kahf FW Brightening 50ML</t>
  </si>
  <si>
    <t>Kahf Scrub Gentle Exfo 100ML</t>
  </si>
  <si>
    <t>Kahf FW Triple Action oil 100ML</t>
  </si>
  <si>
    <t>Nivea Men FW Acne 100ML</t>
  </si>
  <si>
    <t>Nivea FW Bright Pore Minim 100ML</t>
  </si>
  <si>
    <t>Garnier Man Foam TL0C 3in1 100 ML</t>
  </si>
  <si>
    <t>Garnier Man Foam Matcha Gel 100 ML</t>
  </si>
  <si>
    <t>Garnier Man Foam Oil Cont Duo 100 ML</t>
  </si>
  <si>
    <t>Garnier DBL White Duo Foam 100 ML</t>
  </si>
  <si>
    <t>Nivea Men FW EW Dark Spot 100 ML</t>
  </si>
  <si>
    <t xml:space="preserve">Gatsby Regrom Pomade PG Merah </t>
  </si>
  <si>
    <t xml:space="preserve">Gatsby WG Merah 75Gr </t>
  </si>
  <si>
    <t>Gatsby Styling Pomade Abu 80Gr</t>
  </si>
  <si>
    <t>Gatsby Styling Pomade Putih</t>
  </si>
  <si>
    <t>Bioaqua S. Mask Red Bean</t>
  </si>
  <si>
    <t>Bioaqua S. Mask Oat</t>
  </si>
  <si>
    <t xml:space="preserve">Bioaqua S. Mask Apple </t>
  </si>
  <si>
    <t>Bioaqua S. Mask Dragon Fruit</t>
  </si>
  <si>
    <t>Bioaqua S. Mask Natto</t>
  </si>
  <si>
    <t xml:space="preserve">Bioaqua S. Mask Papaya </t>
  </si>
  <si>
    <t>Bioaqua S. Mask sea Buckthorn</t>
  </si>
  <si>
    <t xml:space="preserve">Bioaqua Eye Mask Blue </t>
  </si>
  <si>
    <t>Bioaqua Eye Mask Green</t>
  </si>
  <si>
    <t>Bioaqua Lip Mask 24K Gold</t>
  </si>
  <si>
    <t>Bioaqua Lip Mask Cherry</t>
  </si>
  <si>
    <t>Precious Skin Aloevera Moist Mask</t>
  </si>
  <si>
    <t>Garnier Man FF Shaving Bright 100ML</t>
  </si>
  <si>
    <t>Garnier Man acno Fight 100ML</t>
  </si>
  <si>
    <t>Garnier Man Foam Cooling 100ML</t>
  </si>
  <si>
    <t>Garnier Man Scrub Icy 100ML</t>
  </si>
  <si>
    <t>Shantos R FW Charcoal 100ML</t>
  </si>
  <si>
    <t>Shantos R FW Acne 100ML</t>
  </si>
  <si>
    <t>Shantos Romeo Hair Clay Nat Look</t>
  </si>
  <si>
    <t xml:space="preserve">Angel Men Clay Strong Hold </t>
  </si>
  <si>
    <t>Gatsby WG biru hard 150Gr</t>
  </si>
  <si>
    <t>Gatsby WG Putih 75Gr</t>
  </si>
  <si>
    <t>MKZ Daily Pomade Jar 120Gr</t>
  </si>
  <si>
    <t>Wardah LightToner 125ML New</t>
  </si>
  <si>
    <t xml:space="preserve">Wardah Light day Gel 20 ML </t>
  </si>
  <si>
    <t>Wardah Light Night0 20 ML New</t>
  </si>
  <si>
    <t>Wardah Light Serum Ampoule 30 ML</t>
  </si>
  <si>
    <t>Wardah Light Whip FF 50 ML</t>
  </si>
  <si>
    <t>Emina Lip Mask Milky Matcha</t>
  </si>
  <si>
    <t xml:space="preserve">Emina Lip Mask </t>
  </si>
  <si>
    <t xml:space="preserve">Emina Lip Mask Orange Squash </t>
  </si>
  <si>
    <t>Azarin Hydramax C Suns SPF50 40ML</t>
  </si>
  <si>
    <t>Azarin Hydra Suns Gel 50 ML</t>
  </si>
  <si>
    <t>You HY Amino Oil FW 50Gr</t>
  </si>
  <si>
    <t>You HY Amino Glow FW 50Gr</t>
  </si>
  <si>
    <t>Skintific Mugwort Acne Clay Stick</t>
  </si>
  <si>
    <t>Skintific 5X cera F Cleanser 80Gr</t>
  </si>
  <si>
    <t>Skintific 5X cera bar Rep Serum 20ML</t>
  </si>
  <si>
    <t>Skintific 5X cera Smooth Toner 80ML</t>
  </si>
  <si>
    <t>Skintific 5X cera bar Moist gel 30G</t>
  </si>
  <si>
    <t>Skintific Nia Bright Moist Gel 30Gr</t>
  </si>
  <si>
    <t>Skintific 10% Niac serum 20 ML</t>
  </si>
  <si>
    <t>Skintific Niacin Bright ESS Toner 80 ML</t>
  </si>
  <si>
    <t>Something Serum AHA Peel Sol New</t>
  </si>
  <si>
    <t>Implora LC 05 Allure</t>
  </si>
  <si>
    <t>Implora LC 03 Dark Berry</t>
  </si>
  <si>
    <t>Implora LC 02 Terra Cotta</t>
  </si>
  <si>
    <t xml:space="preserve">Implora LC 01 nude </t>
  </si>
  <si>
    <t>Implora LC 06 Lumiere</t>
  </si>
  <si>
    <t>Implora LC 09 Butterscot</t>
  </si>
  <si>
    <t>Implora LC 12 Brown Sugar</t>
  </si>
  <si>
    <t>Implora LC 15 Salmon P</t>
  </si>
  <si>
    <t>Implora LC 18 Ruby</t>
  </si>
  <si>
    <t>Implora Cheek&amp;lip 06 Pumpkin</t>
  </si>
  <si>
    <t xml:space="preserve">Implora Cheek&amp;lip 05 Cranberry </t>
  </si>
  <si>
    <t>Implora Cheek&amp;lip 02 Cherry Bomb</t>
  </si>
  <si>
    <t xml:space="preserve">Implora Cheek&amp;lip 04 Red Wine  </t>
  </si>
  <si>
    <t xml:space="preserve">Implora Cheek&amp;lip 01 Vampire </t>
  </si>
  <si>
    <t>Bioaqua 7X Cera CLSR 100 Gr</t>
  </si>
  <si>
    <t>Bioaqua 7X Cera Bar Moist 50 Gr</t>
  </si>
  <si>
    <t>Bioaqua 7X Cera Bar Moist lot 120 ML</t>
  </si>
  <si>
    <t>Bioaqua 7X Cera Bar Toner 120 ML</t>
  </si>
  <si>
    <t>The Originote Suns Cera SPF50 50 Gr</t>
  </si>
  <si>
    <t>Pixi UV TWC Nat Beige 06</t>
  </si>
  <si>
    <t>Pixi UV TWC Perf Fit 03 GB</t>
  </si>
  <si>
    <t>OMG Serum Mugwort Acne 20 ML</t>
  </si>
  <si>
    <t>Viva Liq FDT Nat</t>
  </si>
  <si>
    <t>Viva Pen Alis Hitam</t>
  </si>
  <si>
    <t>Viva Pen Alis Brown</t>
  </si>
  <si>
    <t>Viva Skin Food Ekstra care CRM 50 Gr</t>
  </si>
  <si>
    <t>OMG Peach Glowing FW 50 Gr</t>
  </si>
  <si>
    <t>OMG Peach Glowing Toner 100 ML</t>
  </si>
  <si>
    <t>OMG Peach Glowing CRM 25 Gr</t>
  </si>
  <si>
    <t>Pons White Beauty S&amp;C Pink</t>
  </si>
  <si>
    <t xml:space="preserve">C&amp;C Foaming FW 50 ML </t>
  </si>
  <si>
    <t xml:space="preserve">C&amp;C Nat Bright FW 50 ML </t>
  </si>
  <si>
    <t>MKZ He SHP Royal Jelly SCT 10 ML</t>
  </si>
  <si>
    <t>MKZ He CRB Aloe SCT 30 ML</t>
  </si>
  <si>
    <t>MKZ He CRB Royal Jelly SCT 60 ML</t>
  </si>
  <si>
    <t>MKZ He CRB Olive SCT 60 ML</t>
  </si>
  <si>
    <t>MKZ He CRB Kiwi SCT 60 ML</t>
  </si>
  <si>
    <t>MKZ He CRB Aloe SCT 60 ML</t>
  </si>
  <si>
    <t>MKZ He SHP Aloe 170 ML</t>
  </si>
  <si>
    <t>MKZ He SHP Kiwi 170 ML</t>
  </si>
  <si>
    <t>MKZ He SHP Olive 170 ML</t>
  </si>
  <si>
    <t>Lip Ice Regular Yummi Cherry</t>
  </si>
  <si>
    <t>Pinkflash Duo Stik HS02 F21-BH02</t>
  </si>
  <si>
    <t>Pinkflash Duo Stik HS02 F21-BH01</t>
  </si>
  <si>
    <t>Pinkflash Duo Make Up Stik HS01</t>
  </si>
  <si>
    <t>Pinkflash Duo Stick F21-BH03</t>
  </si>
  <si>
    <t>Acnes Sport Care 12 Gr</t>
  </si>
  <si>
    <t xml:space="preserve">Brasov 2in1 Mascara &amp; Eyeliner </t>
  </si>
  <si>
    <t>Pinkflash Soft pigment Blush P03</t>
  </si>
  <si>
    <t>Pinkflash Soft pigment Blush P02</t>
  </si>
  <si>
    <t>Pinkflash Soft pigment Blush P01</t>
  </si>
  <si>
    <t>Pinkflash ESD Pro Pallette PF E15-04 New</t>
  </si>
  <si>
    <t>Pinkflash ESD Pro Pall E15-02</t>
  </si>
  <si>
    <t xml:space="preserve">Elips Blister Silky Blaack </t>
  </si>
  <si>
    <t>Elips HM Smooth&amp;Shinky kuning 20Gr</t>
  </si>
  <si>
    <t>Elips HM Keratin Silky Black 20 Gr</t>
  </si>
  <si>
    <t xml:space="preserve">Salsa Hans Jebb Sweet Tropical </t>
  </si>
  <si>
    <t>Salsa Hans Jebb Lemon Breeze</t>
  </si>
  <si>
    <t xml:space="preserve">Elips Pot Isi 50 Smooth &amp; Silky Blaack </t>
  </si>
  <si>
    <t xml:space="preserve">Elips Pot Isi 50 Silky Blaack </t>
  </si>
  <si>
    <t xml:space="preserve">Elips Pot Isi 50 Ungu/Nutri Col </t>
  </si>
  <si>
    <t xml:space="preserve">Elips Pot Isi 50 Hitam Shiny </t>
  </si>
  <si>
    <t xml:space="preserve">Kojie San Acid Soap 45Gr </t>
  </si>
  <si>
    <t xml:space="preserve">Nivea EW HBL Radiant&amp;Smooth UV 100 ML </t>
  </si>
  <si>
    <t xml:space="preserve">Nivea EW HBL Intens 100 ML </t>
  </si>
  <si>
    <t>Lae sa Luai SPA Smooth Keratin</t>
  </si>
  <si>
    <t>Nivea CRM Soft 50 ML</t>
  </si>
  <si>
    <t>MKZ He Scent  Cherry Blos 30 ML</t>
  </si>
  <si>
    <t xml:space="preserve">Scarlet Acne ESS Toner </t>
  </si>
  <si>
    <t>Scarlet Acne FW</t>
  </si>
  <si>
    <t>Scarlet Bright Ever serum</t>
  </si>
  <si>
    <t>Scarlet Acne serum</t>
  </si>
  <si>
    <t>Scarlet Acne CRM day</t>
  </si>
  <si>
    <t>Scarlet Acne CRM Night</t>
  </si>
  <si>
    <t>CBD Keratin Pro Cond 250 ML</t>
  </si>
  <si>
    <t>CBD Keratin Pro SHP 250 ML</t>
  </si>
  <si>
    <t>CBL Col cond 250 ML</t>
  </si>
  <si>
    <t>CBL Col SHP 250 ML</t>
  </si>
  <si>
    <t>Nivea Sun Triple Pro HR Spf 50</t>
  </si>
  <si>
    <t>CBL keratin Pro HS 100 Ml</t>
  </si>
  <si>
    <t xml:space="preserve">Salsa Bold Eyeliner </t>
  </si>
  <si>
    <t>Nivea FF Sparkling White 100 Ml</t>
  </si>
  <si>
    <t xml:space="preserve">HanasuiSleap serum Straw 12 Gr </t>
  </si>
  <si>
    <t xml:space="preserve">Hanasui BS sakura Gel </t>
  </si>
  <si>
    <t xml:space="preserve">Hanasui BS Vit C Gel </t>
  </si>
  <si>
    <t>Marina HBL Smooth &amp; glow 95 Ml</t>
  </si>
  <si>
    <t>Marina HBL Protect &amp; care 95 Ml</t>
  </si>
  <si>
    <t>Marina HBL Nutri Serum 190 Ml</t>
  </si>
  <si>
    <t>Marina HBL Protect &amp; care 150 Ml</t>
  </si>
  <si>
    <t>Marina HBL Smooth glow 150 Ml</t>
  </si>
  <si>
    <t>Shinzui BS Sakura 200 Gr</t>
  </si>
  <si>
    <t>Shinzui BS Myori 200 Gr</t>
  </si>
  <si>
    <t>Shinzui BS Matsu 200 Gr</t>
  </si>
  <si>
    <t>tresemme Keratin Smooth SHP 170 Ml</t>
  </si>
  <si>
    <t>tresemme hairfall control SHP 170 Ml</t>
  </si>
  <si>
    <t>Loreal HM Fall Rep 200 Gr</t>
  </si>
  <si>
    <t>Fameux BS Goat 250 ML</t>
  </si>
  <si>
    <t>Scarlet HBL Tube Loving</t>
  </si>
  <si>
    <t>Kuncir KC065-36 23 Harga biji</t>
  </si>
  <si>
    <t>Mangkok Masker MK006-60 23 C Harga Biji</t>
  </si>
  <si>
    <t>Sisir SS065-48 23 Harga Biji</t>
  </si>
  <si>
    <t>Roll RLO25-24 23 Harga Lusin</t>
  </si>
  <si>
    <t>Kuas KS050-120-harga biji</t>
  </si>
  <si>
    <t>Kuas KS048-120-harga biji</t>
  </si>
  <si>
    <t>Lem BM Meihwa</t>
  </si>
  <si>
    <t>Polos BM ( 1 pak isi 6 PC )</t>
  </si>
  <si>
    <t>Camile coffee Wash of Mask 25 Gr</t>
  </si>
  <si>
    <t xml:space="preserve">Camile Milk Wash of Mask 25 Gr </t>
  </si>
  <si>
    <t>Vaseline Gluta Hya Over Night</t>
  </si>
  <si>
    <t>Vaseline Gluta Hya Pink</t>
  </si>
  <si>
    <t xml:space="preserve">Vaseline Gluta Hya GOld </t>
  </si>
  <si>
    <t>EMINA CRMMAT 09 PUMPKIN</t>
  </si>
  <si>
    <t>EMINA CRMMAT 09 BABY FOX</t>
  </si>
  <si>
    <t>EMINA CRMMAT 03 MAUVE LOUS</t>
  </si>
  <si>
    <t>EMINA CRMMAT 02 FUZZY WUZZY</t>
  </si>
  <si>
    <t>EMINA CRMMAT 13 BEET BITES</t>
  </si>
  <si>
    <t>EMINA CRMMAT 12 PERKY PLIM</t>
  </si>
  <si>
    <t>EMINA CHRRKLIT VIOLET BERRY</t>
  </si>
  <si>
    <t>EMINA BRIGHT STUFF FW 100</t>
  </si>
  <si>
    <t>SELECTION KAPAS 35GR</t>
  </si>
  <si>
    <t>SELECTION KAPAS 50GR</t>
  </si>
  <si>
    <t>SOMETHING SERUM SABI BEET 5% 20 ML</t>
  </si>
  <si>
    <t>SOMETHING SERUM LEMONADE 20 ML</t>
  </si>
  <si>
    <t xml:space="preserve">SOMETHING SERUM AHA PEEL SOL NEW </t>
  </si>
  <si>
    <t xml:space="preserve">EMINA LIP MASK </t>
  </si>
  <si>
    <t>MKZ HE SCENT MORNING DEW 30 ML</t>
  </si>
  <si>
    <t>MKZ HE SCENT CHERRY BLOS 30 ML</t>
  </si>
  <si>
    <t>MKZ HE SCENT WHITE MUSK 60 ML</t>
  </si>
  <si>
    <t>EMINA LIP MASK MILKY MATCHA</t>
  </si>
  <si>
    <t>EMINA SUN BATTLE SPF 30 60 ML</t>
  </si>
  <si>
    <t>EMINA SUN BATTLE SPF 30 PA++ 23 ML</t>
  </si>
  <si>
    <t>EMINA SUN BATTLE SPF 50 BAR HYDRA 30 ML</t>
  </si>
  <si>
    <t>MKZ ADV VITAMAX 8MLX3</t>
  </si>
  <si>
    <t>YOU HY AMINO HYDRA FW 100GR</t>
  </si>
  <si>
    <t>YOU HY AMINO ACNE FW 100GR</t>
  </si>
  <si>
    <t>YOU HY AMINO GLOWING FW 100GR</t>
  </si>
  <si>
    <t>WARDAH UV SS SMOOTH SPF 50</t>
  </si>
  <si>
    <t>WARDAH UV SHIELD SUNS GEL SPF 35</t>
  </si>
  <si>
    <t>KAHF FW OIL &amp; ACNE CARE 100 ML</t>
  </si>
  <si>
    <t>KAHF FW BRIGHT &amp; ENERGIZE 100ML</t>
  </si>
  <si>
    <t>WARDAH UV AQUA FRESH SPF 50</t>
  </si>
  <si>
    <t>GARNIER MICELLAR SALI BHA 125ML</t>
  </si>
  <si>
    <t>GARNIER MICCELAR PINK 125%</t>
  </si>
  <si>
    <t>AZARINE HIDRAMAX C SUN SPF 50 40 ML</t>
  </si>
  <si>
    <t>GARNIER BC FOAM 100ML</t>
  </si>
  <si>
    <t>GARNIER SAKURA F FOAM 100 ML</t>
  </si>
  <si>
    <t>ACNES FW COMPLETE WHITE 100GR</t>
  </si>
  <si>
    <t>ACNES FW OIL CONTROL 100GR</t>
  </si>
  <si>
    <t>SKIN AQUA TONE UP UV MG  40G</t>
  </si>
  <si>
    <t>SKIN AQUA TONE UP UV ESS 40G</t>
  </si>
  <si>
    <t>WARDAH EXC LC 17</t>
  </si>
  <si>
    <t>WARDAH EXC LC 03 SEE YOU LATTE</t>
  </si>
  <si>
    <t>WARDAH EXC LC 13 FRUIT PUNCH</t>
  </si>
  <si>
    <t xml:space="preserve">WARDAH EXC LC 12 </t>
  </si>
  <si>
    <t>WARDAH EXC 07</t>
  </si>
  <si>
    <t>WARDAH EXC 08 PINK CREDIBLE</t>
  </si>
  <si>
    <t>WARDAH EXC LC 09 MOUVE ON</t>
  </si>
  <si>
    <t>IMPLORA LC 03 DARK BERRY</t>
  </si>
  <si>
    <t xml:space="preserve">IMPLORA LC NUDE 01 </t>
  </si>
  <si>
    <t>IMPLORA LC 13 HAZELNUDE</t>
  </si>
  <si>
    <t>IMPLORA LC 19 CAROLINA</t>
  </si>
  <si>
    <t>IMPLORA LC 17 REDWOOD</t>
  </si>
  <si>
    <t>IMPLORA LC 14 BABY ROSE</t>
  </si>
  <si>
    <t>IMPLORA BO PINK CANDY</t>
  </si>
  <si>
    <t>IMPLORA BO DUSTY ROSE</t>
  </si>
  <si>
    <t>IMPLORA LC 02 TERRA COTTA</t>
  </si>
  <si>
    <t>OMG MAT KISS LC 17  (SOCIALITE EDT)</t>
  </si>
  <si>
    <t>OMG MAT KISS LC 16 (SOCIALITE EDT)</t>
  </si>
  <si>
    <t>OMG MAT KISS LC 14 CAP</t>
  </si>
  <si>
    <t xml:space="preserve">OMG MAT KISS LC 05 PUNCH </t>
  </si>
  <si>
    <t xml:space="preserve">OMG MAT KISS LC 12 SCARLETH </t>
  </si>
  <si>
    <t xml:space="preserve">IMPLORA EYEBROW BLACK </t>
  </si>
  <si>
    <t>LEIVY HBL GOAT MILK 270ML BTL</t>
  </si>
  <si>
    <t>PIXY FF UV BRIGHT 40GR</t>
  </si>
  <si>
    <t>PIXY ACNE FF 40ML</t>
  </si>
  <si>
    <t>PONDS ULTIMATE CLARITY BRIGHT FF 100GR</t>
  </si>
  <si>
    <t>FAIR&amp;LOVELY MULTI VIT FF 100G</t>
  </si>
  <si>
    <t>CITRA PEARLY WHITE FF CAR 100GR</t>
  </si>
  <si>
    <t>CITRA SAKURA FAIR FC FOAM 100G</t>
  </si>
  <si>
    <t>CITRA SAKURA GLOW UV PWD CREAM 40GR</t>
  </si>
  <si>
    <t>PIXY FF BRIGHT 100GR</t>
  </si>
  <si>
    <t>FAIR&amp;LOVELY MULTI VITAMIN FF 100GR</t>
  </si>
  <si>
    <t>CITRA Perly white ff cae 100gr</t>
  </si>
  <si>
    <t>FAIR&amp;LOVELY PWD CRM 20GR</t>
  </si>
  <si>
    <t>PINKFLASH CONCEALER LAST F04-T04</t>
  </si>
  <si>
    <t>PINKFLASH CONCEALER DUO F18-03</t>
  </si>
  <si>
    <t>PINKFLASH CONCEALER DUO F18-02</t>
  </si>
  <si>
    <t xml:space="preserve">HANASUI MAT LC 16 GLAM </t>
  </si>
  <si>
    <t>HANASUI MAT LC 16 CLASSY</t>
  </si>
  <si>
    <t>HANASUI MAT LC 09 FAME</t>
  </si>
  <si>
    <t>MADAM GIE TO GO 02</t>
  </si>
  <si>
    <t>AINIE BEAUTY SOAP JEPANG 135 GR</t>
  </si>
  <si>
    <t>AINIE BEAUTY SOAP GOAT MILK 135 GR</t>
  </si>
  <si>
    <t>HERBORIST ALOE GEL 250ML</t>
  </si>
  <si>
    <t xml:space="preserve">HERBORIST FF ZAITUN </t>
  </si>
  <si>
    <t>HERBORIST FF TA TREE</t>
  </si>
  <si>
    <t>HERBORIST FC WASH GEL ALOE</t>
  </si>
  <si>
    <t>C&amp;D KERATIN PRO HS 100ML</t>
  </si>
  <si>
    <t>C&amp;D KERATIN PRO SHP 250ML</t>
  </si>
  <si>
    <t>WHITELAB N10DOSE BRIGHT SERUM 20 ML</t>
  </si>
  <si>
    <t>WHITE LAB BRIGHT FW 100 NEW</t>
  </si>
  <si>
    <t>C&amp;D KERATIN PRO COND 250ML</t>
  </si>
  <si>
    <t>C&amp;D COL SHP 250ML</t>
  </si>
  <si>
    <t>C&amp;D COL COND 250ML</t>
  </si>
  <si>
    <t>HI TOP SEMIR 35 ML</t>
  </si>
  <si>
    <t>WHITELAB TONER BRIGHT 100 ML</t>
  </si>
  <si>
    <t>WHITE LAB SERUM NIA 5% BRIGHT 20 ML</t>
  </si>
  <si>
    <t>WHITELAB BRIGHT FW 100 NEW</t>
  </si>
  <si>
    <t>WHITELAB UV TANK SUNS GEL 30 GR</t>
  </si>
  <si>
    <t>WHITELAB BRIGHT DAY CREAM 20GR</t>
  </si>
  <si>
    <t>WHITELAB BRIGHT NIGHT CREAM 20GR</t>
  </si>
  <si>
    <t>HANASUI MAT LC 01 KISS</t>
  </si>
  <si>
    <t>HANASUI MAT LC 12 POSH</t>
  </si>
  <si>
    <t>HANASUI MAT LC 12 AMAZE</t>
  </si>
  <si>
    <t>HANASUI MAT LC 03 STAR</t>
  </si>
  <si>
    <t xml:space="preserve">HANASUI MAT LC 11 BRICK </t>
  </si>
  <si>
    <t>HANASUI MAT LC 04 CHIC</t>
  </si>
  <si>
    <t xml:space="preserve">HANASUI MAT LC 07 SPARK </t>
  </si>
  <si>
    <t>MARCKS BEDAK TBUR NAT BEIGE 40GR</t>
  </si>
  <si>
    <t>MADAMGIE BS BROWCARA 03</t>
  </si>
  <si>
    <t>MADAMGIE BS BROWCARA 01</t>
  </si>
  <si>
    <t>HIMALAYA PURIF  NEEM FW 100ML</t>
  </si>
  <si>
    <t>HIMALAYA GENTE EXPO P 30 ML</t>
  </si>
  <si>
    <t>VIVA LIQ FDT KUNING P 30 ML</t>
  </si>
  <si>
    <t>VIVA LIQ FDT KL</t>
  </si>
  <si>
    <t>VIVA FT PUTIH 100ML</t>
  </si>
  <si>
    <t>VIVA MC CUCUMBER 100 ML</t>
  </si>
  <si>
    <t>VIVA MC PUTIH 100ML</t>
  </si>
  <si>
    <t>VIVA FT BGKG 100ML</t>
  </si>
  <si>
    <t>VIVA MC GT 100 ML</t>
  </si>
  <si>
    <t>VIVA FT LEMON 100 ML</t>
  </si>
  <si>
    <t>VIVA FT GT 100 ML</t>
  </si>
  <si>
    <t>VIVA MC LEMON 100ML</t>
  </si>
  <si>
    <t>VIVA FT CUCUMBER 100 ML</t>
  </si>
  <si>
    <t>VIVA AIR MAWAR 100 ML</t>
  </si>
  <si>
    <t>NIVEA ROLL ON SILK TOUCH 50 ML</t>
  </si>
  <si>
    <t>NIVEA ROLL ON DRY COMFORT 50 ML</t>
  </si>
  <si>
    <t>Nivea roll on happy shave 50ml</t>
  </si>
  <si>
    <t>Nivea EW HBL INTENS 100 ML</t>
  </si>
  <si>
    <t>Nivea EW HBL FIRM&amp;Smooth 200 ml</t>
  </si>
  <si>
    <t>Nivea EW HBL Night Nour 200 ml</t>
  </si>
  <si>
    <t>Nivea EW Instan White 200 ml</t>
  </si>
  <si>
    <t>Nivea EW HBL Rad&amp;Smoth 200 ml</t>
  </si>
  <si>
    <t>Nivea EW BS Inst Glow 180 ml</t>
  </si>
  <si>
    <t>Nivea anti age wht serum 180 ml</t>
  </si>
  <si>
    <t>Nivea EW BS  C&amp;P 180 ml</t>
  </si>
  <si>
    <t>Nivea ext bright 10 super vit 180 ml</t>
  </si>
  <si>
    <t xml:space="preserve">Citra HBL Golden Glow 210 ml </t>
  </si>
  <si>
    <t>Citra HBL Nat Glow White UV 230 Ml</t>
  </si>
  <si>
    <t>Citra HBL Sakura Fair UV 230 ml</t>
  </si>
  <si>
    <t>Citra HBL Pearly White UV 230 ML</t>
  </si>
  <si>
    <t>Scarleth Body Serum Jolly</t>
  </si>
  <si>
    <t>Scarleth HBL Loving</t>
  </si>
  <si>
    <t>Scarleth HBL Happy</t>
  </si>
  <si>
    <t>Scarleth Body serum happy</t>
  </si>
  <si>
    <t>Scarleth SC Loving</t>
  </si>
  <si>
    <t>Scarleth SC Charming</t>
  </si>
  <si>
    <t xml:space="preserve">Scarleth SC Freshy </t>
  </si>
  <si>
    <t>Natur E  HBL Rev Pink 100 ml</t>
  </si>
  <si>
    <t>Scarleth BS JOLLY</t>
  </si>
  <si>
    <t>Scarleth BS Romansa</t>
  </si>
  <si>
    <t>Scarleth BS Loving</t>
  </si>
  <si>
    <t>Scarleth acne serum</t>
  </si>
  <si>
    <t>Scarleth Acne Cream Night</t>
  </si>
  <si>
    <t>Scarleth Acne Cream day</t>
  </si>
  <si>
    <t>Scarleth Acne FW</t>
  </si>
  <si>
    <t>Cul CRB Red Pome 1 L</t>
  </si>
  <si>
    <t>Cul CRB cocoa 1 L</t>
  </si>
  <si>
    <t>Natur E  HBL moist hijau 245 ML</t>
  </si>
  <si>
    <t>hanasui body expo gel aloe 300 ml</t>
  </si>
  <si>
    <t>Hanasui body expo gel orange 300 ml</t>
  </si>
  <si>
    <t>Hanasui body expo gel straw 300 ml</t>
  </si>
  <si>
    <t>Hanasui body expo gel cherry 300 ml</t>
  </si>
  <si>
    <t>vaseline hbl fresh&amp;bright cool 200ml</t>
  </si>
  <si>
    <t>vaseline hbl sun spf 24 200 ml</t>
  </si>
  <si>
    <t>Vaseline cocoa radiant 200 ml</t>
  </si>
  <si>
    <t>Vaseline h sunblock spf 30 100 ml</t>
  </si>
  <si>
    <t>Shinzui light soap sakura</t>
  </si>
  <si>
    <t>Shinzui light soap myori</t>
  </si>
  <si>
    <t xml:space="preserve">Shinzui light soap kirei </t>
  </si>
  <si>
    <t>Selection kapas 35 gr</t>
  </si>
  <si>
    <t>Selection kapas 50 gr</t>
  </si>
  <si>
    <t>Marimar Neil Polis Nude 098 pink</t>
  </si>
  <si>
    <t>Marimar Neil Polis Nude 088 Bulat</t>
  </si>
  <si>
    <t xml:space="preserve">Hanasui Natur Go Pill Of Black </t>
  </si>
  <si>
    <t xml:space="preserve">Hanasui Gold Pill Mask New </t>
  </si>
  <si>
    <t>Citra Sakura Glow UV PWD Cream 40 Gr</t>
  </si>
  <si>
    <t>Vaseline Repairing Jelly 50 ML</t>
  </si>
  <si>
    <t xml:space="preserve">Scarllet SC Freshy </t>
  </si>
  <si>
    <t>Nivea Ew HBL Intens 100 ML</t>
  </si>
  <si>
    <t>Viva Water drop slip</t>
  </si>
  <si>
    <t>Scarllet SC Loving</t>
  </si>
  <si>
    <t>Scarllet SC Happy</t>
  </si>
  <si>
    <t>Scarllet HBL Happy</t>
  </si>
  <si>
    <t>Scarllet HBL Loving</t>
  </si>
  <si>
    <t>Scarllet Body Serum Jolly</t>
  </si>
  <si>
    <t xml:space="preserve">Viva White clean mask norm </t>
  </si>
  <si>
    <t>Viva White Clean oily  50 Gr</t>
  </si>
  <si>
    <t>Viva White Clean Mask Dry 50 Gr</t>
  </si>
  <si>
    <t>Scarllet BS Jolly</t>
  </si>
  <si>
    <t>Himalaya gentle exfo FW 100 ML</t>
  </si>
  <si>
    <t>Scarllet BS Loving</t>
  </si>
  <si>
    <t xml:space="preserve">Scarllet BS Romansa </t>
  </si>
  <si>
    <t>Nivea EWHBL RAD &amp; Smooth 200 ML</t>
  </si>
  <si>
    <t>Nivea HBL Intens Mouist 200 ML</t>
  </si>
  <si>
    <t>Nivea EWHBL Firm &amp; SM 200 ML</t>
  </si>
  <si>
    <t>Herborist BS OC 180 ML</t>
  </si>
  <si>
    <t>Herborist Juice Gluta Mix BERRIES dan Taro 180 ML</t>
  </si>
  <si>
    <t>Herborist Juice Gluta Pome berry &amp; beetroot 180 ML</t>
  </si>
  <si>
    <t>Himalaya Purif neem FW 100 ML</t>
  </si>
  <si>
    <t>Fair &amp; LovelyGlow Vit C 100Gr</t>
  </si>
  <si>
    <t>Fair &amp; Lovely Multi Vit FF 100Gr</t>
  </si>
  <si>
    <t>C&amp;C deep Action CLSR 100 ML</t>
  </si>
  <si>
    <t>C&amp;C acne CLSR 100 Gr</t>
  </si>
  <si>
    <t>C&amp;C DPC Apple 100 Gr</t>
  </si>
  <si>
    <t>C&amp;C Oil controling Toner 100 ML</t>
  </si>
  <si>
    <t>C&amp;C Micellar water 100 ML</t>
  </si>
  <si>
    <t>C&amp;C nat Bright FW 100 ML</t>
  </si>
  <si>
    <t>Viva MC Spirulina 100 ML</t>
  </si>
  <si>
    <t>Viva FT Putih 100 ML</t>
  </si>
  <si>
    <t>Viva FT BGKG 100 ML</t>
  </si>
  <si>
    <t>Viva FT Spirulina 100 ML</t>
  </si>
  <si>
    <t>Viva FT Lemon 100 ML</t>
  </si>
  <si>
    <t>Viva FT CuCumber 100 ML</t>
  </si>
  <si>
    <t>Viva FT GT 100 ML</t>
  </si>
  <si>
    <t>Viva MC GT 100 ML</t>
  </si>
  <si>
    <t>Viva MC CCBR 100 ML</t>
  </si>
  <si>
    <t>Viva Mc BGKG 100 ML</t>
  </si>
  <si>
    <t>Viva Mc Putih 100 ML</t>
  </si>
  <si>
    <t>viva MC Lemon 100 ML</t>
  </si>
  <si>
    <t>Viva air mawar 100 ML</t>
  </si>
  <si>
    <t>bio aqua s. mask oat</t>
  </si>
  <si>
    <t>bio aqua s.mask moringa Seed</t>
  </si>
  <si>
    <t xml:space="preserve">bio aqua s.mask apple </t>
  </si>
  <si>
    <t>bio aqua s.maskgrape fruits</t>
  </si>
  <si>
    <t>bio aqua s.mask olive sooth</t>
  </si>
  <si>
    <t>bio aqua s.mask moroccan nut</t>
  </si>
  <si>
    <t>bio aqua s mask grape seed</t>
  </si>
  <si>
    <t>dearme serum lip tint dear elly</t>
  </si>
  <si>
    <t>dearme serum lip tint valerie</t>
  </si>
  <si>
    <t>dearme serum lip teen Vivi</t>
  </si>
  <si>
    <t xml:space="preserve">implora cheek and lib 01 Vampire </t>
  </si>
  <si>
    <t>Implora Cek and Lib 03 Candy Apple</t>
  </si>
  <si>
    <t>Implora Cek and Lib 04 red wine</t>
  </si>
  <si>
    <t>Implora Cek and Lib 02 Cherry Bomb</t>
  </si>
  <si>
    <t>Biore Pore PACK Cherry Blossom</t>
  </si>
  <si>
    <t>Fanbo Airbro Fantastic Brown</t>
  </si>
  <si>
    <t xml:space="preserve">Viva Pen Alis Hitam </t>
  </si>
  <si>
    <t>Biore Body F Clear Fresh 400 ML</t>
  </si>
  <si>
    <t>Biore Body F Bright Macha 400 ML</t>
  </si>
  <si>
    <t>Leivy SC Goat Milk 250 Gr</t>
  </si>
  <si>
    <t>Biore Body F Pure Mild 250 ML</t>
  </si>
  <si>
    <t>Glow and Lovely BW 250 ML</t>
  </si>
  <si>
    <t>Cetaphil Oili Skin cleanser 125 ML</t>
  </si>
  <si>
    <t>Fair and Lovely ULT UV Duo SPF 35 20 gr</t>
  </si>
  <si>
    <t>Nivea roll on Happy save 50 ML</t>
  </si>
  <si>
    <t>Nivea Roll On White Anti Bactery</t>
  </si>
  <si>
    <t xml:space="preserve">Nivea Roll On Dry comfort 50 ML </t>
  </si>
  <si>
    <t>Nivea ext bright 10 Super Vitamin 180 ML</t>
  </si>
  <si>
    <t>Pons Thimo BHA Acne Facial Form 100 Gr</t>
  </si>
  <si>
    <t>Pons Ultimate Klarity bright FF 100Gr</t>
  </si>
  <si>
    <t>Fair and Lovely cream 23 G3</t>
  </si>
  <si>
    <t>Bio Aqua S.Mask Apple</t>
  </si>
  <si>
    <t>Scarlet Acne Serum</t>
  </si>
  <si>
    <t>Scarlet Acne Facial Wash</t>
  </si>
  <si>
    <t>Pons Vit Rose Micelar Water 100 ML</t>
  </si>
  <si>
    <t>Scarlet Acne Cream day</t>
  </si>
  <si>
    <t xml:space="preserve">Scarlet Acne Cream Night </t>
  </si>
  <si>
    <t>Cetaphil jentle skin CLSR 125 Ml</t>
  </si>
  <si>
    <t>Aini Beautyshop B.Jepang 135 Gr</t>
  </si>
  <si>
    <t>Aini Beautyshop Goat Milk 135 Gr</t>
  </si>
  <si>
    <t>Implora Nail Polis Nud</t>
  </si>
  <si>
    <t xml:space="preserve">Implora Nail Polis Wonder </t>
  </si>
  <si>
    <t xml:space="preserve">Implora Nail Polis Red </t>
  </si>
  <si>
    <t>PinkFlash last Lipgloss G06</t>
  </si>
  <si>
    <t>Pinkflash Vel LC L04 BB02</t>
  </si>
  <si>
    <t>Pink Flash Last LC L01-P01</t>
  </si>
  <si>
    <t>Pinkflash Vel LC L04 BB03</t>
  </si>
  <si>
    <t>Pinkflash Vel LC BB01</t>
  </si>
  <si>
    <t>PinkFlash last Lipgloss S04</t>
  </si>
  <si>
    <t>Pink Flash Vel LC L01 -BB01</t>
  </si>
  <si>
    <t>Pink Flash Vel LC L01-R01</t>
  </si>
  <si>
    <t>Pink Flash Vel LC L04 BB 05</t>
  </si>
  <si>
    <t>Pink Flash Last LC L01 BB 01</t>
  </si>
  <si>
    <t>Pink Flash Last Lib Glos GO5</t>
  </si>
  <si>
    <t>Implora BO Coral Pich</t>
  </si>
  <si>
    <t>Implora BO Pink Candy</t>
  </si>
  <si>
    <t>Vaselin HB PERF 10 200ML</t>
  </si>
  <si>
    <t>Nivea Lib Bam straw sign</t>
  </si>
  <si>
    <t xml:space="preserve">Madam G Sunscrean SPF 50 </t>
  </si>
  <si>
    <t>Pixi FF Bright 100Gr</t>
  </si>
  <si>
    <t>Viva Luman Beng 225 Gr</t>
  </si>
  <si>
    <t>Viva Luman Yogurt 225 Gr</t>
  </si>
  <si>
    <t>Viva Luman AVO 225 Gr</t>
  </si>
  <si>
    <t>Viva Luman Soybean 225 Gr</t>
  </si>
  <si>
    <t>Marcks Bedak Tabur CRM 40 gr</t>
  </si>
  <si>
    <t>Miranda Semir MC 14</t>
  </si>
  <si>
    <t>Miranda Semir MC 13</t>
  </si>
  <si>
    <t>Vaselin HB Firm dan Glow Serum 180 ML</t>
  </si>
  <si>
    <t>Vaselin Gluta HYA Dewi Pink</t>
  </si>
  <si>
    <t>Vaseline HB Soft Glow Serum 180 ML</t>
  </si>
  <si>
    <t>Zeinzui HBL Hana 210 ML</t>
  </si>
  <si>
    <t>Zeinzui HBL Sakura 210 ML</t>
  </si>
  <si>
    <t>Zeinzui Bc Matsu Reff 200 ML</t>
  </si>
  <si>
    <t>Zeinzui Bc Kirei Reff 200 ML</t>
  </si>
  <si>
    <t xml:space="preserve">Herborist FF  Zaitun </t>
  </si>
  <si>
    <t>Herborist Alogel 250 ML</t>
  </si>
  <si>
    <t>Herborist FF Tea tree</t>
  </si>
  <si>
    <t>Herborist FC Wash Gel Aloe</t>
  </si>
  <si>
    <t>Herborist Minyak Zaitun 150 ML</t>
  </si>
  <si>
    <t>Scarlet BS Jolly</t>
  </si>
  <si>
    <t xml:space="preserve">Scarlet BS Loving </t>
  </si>
  <si>
    <t>Natur E HBL Rev Pink 100 ML</t>
  </si>
  <si>
    <t>Dove SHP Perawatan Rambut Rontok 135 ML</t>
  </si>
  <si>
    <t>Citra HBL Nat Glow White UV 230 ML</t>
  </si>
  <si>
    <t>Citra HBL Pearli White UV 230 ML</t>
  </si>
  <si>
    <t>Dove SHP Total Demage 135 ML</t>
  </si>
  <si>
    <t>Citra HBL Golden Glow 210 ML</t>
  </si>
  <si>
    <t>Sunslik Anti Ketombe 160 ML</t>
  </si>
  <si>
    <t>Vaseline Superfood Cranberry 200 ML</t>
  </si>
  <si>
    <t>Natur E HBL Moist Hijau 245 ML</t>
  </si>
  <si>
    <t>Metal SHP AD Hijau 100 ML</t>
  </si>
  <si>
    <t>Metal SHP Merah 100 ML</t>
  </si>
  <si>
    <t>Sabu PAPAYARDL</t>
  </si>
  <si>
    <t>SALDO</t>
  </si>
  <si>
    <t>PRICE</t>
  </si>
  <si>
    <t>S</t>
  </si>
  <si>
    <t>K</t>
  </si>
  <si>
    <t>D</t>
  </si>
  <si>
    <t>SATUAN</t>
  </si>
  <si>
    <t>DAFTAR BARANG</t>
  </si>
  <si>
    <t>NO</t>
  </si>
  <si>
    <t>Langkah 7</t>
  </si>
  <si>
    <t>Lihat sheet 'KARTU STOCK' untuk rekap status Keluar masuk barang.</t>
  </si>
  <si>
    <t>LAPORAN KARTU STOCK JE BEAUTY STORE</t>
  </si>
  <si>
    <t>TANGGAL</t>
  </si>
  <si>
    <t>Opening Stock</t>
  </si>
  <si>
    <t>Barang Keluar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</si>
</sst>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\+#,##0;\-#,##0;&quot;-&quot;"/>
    <numFmt numFmtId="165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sz val="10"/>
      <color rgb="FF475569"/>
      <name val="Calibri"/>
      <family val="2"/>
    </font>
    <font>
      <b/>
      <sz val="10"/>
      <color rgb="FFFFFFFF"/>
      <name val="Calibri"/>
      <family val="2"/>
    </font>
    <font>
      <sz val="10"/>
      <color rgb="FF374151"/>
      <name val="Calibri"/>
      <family val="2"/>
    </font>
    <font>
      <b/>
      <sz val="10"/>
      <color rgb="FF374151"/>
      <name val="Calibri"/>
      <family val="2"/>
    </font>
    <font>
      <sz val="9"/>
      <color rgb="FF475569"/>
      <name val="Calibri"/>
      <family val="2"/>
    </font>
    <font>
      <sz val="9"/>
      <color rgb="FF94A3B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i/>
      <sz val="10"/>
      <color rgb="FF94A3B8"/>
      <name val="Calibri"/>
      <family val="2"/>
    </font>
    <font>
      <b/>
      <sz val="14"/>
      <color rgb="FFFFFFFF"/>
      <name val="Calibri"/>
      <family val="2"/>
    </font>
    <font>
      <b/>
      <sz val="12"/>
      <color rgb="FF2A5EA2"/>
      <name val="Calibri"/>
      <family val="2"/>
    </font>
    <font>
      <sz val="11"/>
      <color theme="1"/>
      <name val="Calibri"/>
      <family val="2"/>
      <scheme val="minor"/>
    </font>
    <font>
      <b/>
      <sz val="22"/>
      <color rgb="FFFFFFFF"/>
      <name val="Calibri"/>
      <family val="2"/>
    </font>
    <font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A5EA2"/>
      </patternFill>
    </fill>
    <fill>
      <patternFill patternType="solid">
        <fgColor rgb="FFEFF6FF"/>
      </patternFill>
    </fill>
    <fill>
      <patternFill patternType="solid">
        <fgColor rgb="FFFFFFFF"/>
      </patternFill>
    </fill>
    <fill>
      <patternFill patternType="solid">
        <fgColor rgb="FFF8FAFC"/>
      </patternFill>
    </fill>
    <fill>
      <patternFill patternType="solid">
        <fgColor rgb="FFD600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2A5EA2"/>
      </top>
      <bottom style="medium">
        <color rgb="FF2A5EA2"/>
      </bottom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52">
    <xf numFmtId="0" fontId="0" fillId="0" borderId="0" xfId="0"/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4" borderId="2" xfId="0" applyFont="1" applyFill="1" applyBorder="1"/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164" fontId="9" fillId="5" borderId="2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0" applyFont="1" applyFill="1" applyBorder="1"/>
    <xf numFmtId="0" fontId="3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3" fillId="6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wrapText="1"/>
    </xf>
    <xf numFmtId="165" fontId="0" fillId="0" borderId="3" xfId="0" applyNumberFormat="1" applyBorder="1"/>
    <xf numFmtId="165" fontId="0" fillId="0" borderId="3" xfId="1" applyNumberFormat="1" applyFont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0" borderId="3" xfId="0" applyBorder="1" applyAlignment="1">
      <alignment wrapText="1"/>
    </xf>
    <xf numFmtId="0" fontId="0" fillId="8" borderId="3" xfId="0" applyFill="1" applyBorder="1" applyAlignment="1">
      <alignment wrapText="1"/>
    </xf>
    <xf numFmtId="0" fontId="0" fillId="7" borderId="3" xfId="0" applyFill="1" applyBorder="1" applyAlignment="1">
      <alignment wrapText="1"/>
    </xf>
    <xf numFmtId="0" fontId="16" fillId="6" borderId="5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6" borderId="3" xfId="0" applyFont="1" applyFill="1" applyBorder="1" applyAlignment="1">
      <alignment horizontal="center" vertical="center"/>
    </xf>
    <xf numFmtId="0" fontId="16" fillId="6" borderId="3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left" vertical="center"/>
    </xf>
    <xf numFmtId="0" fontId="0" fillId="6" borderId="0" xfId="0" applyFill="1"/>
    <xf numFmtId="0" fontId="1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14" fillId="6" borderId="0" xfId="0" applyFont="1" applyFill="1" applyAlignment="1">
      <alignment horizontal="center" vertical="center"/>
    </xf>
    <xf numFmtId="0" fontId="15" fillId="6" borderId="0" xfId="0" applyFont="1" applyFill="1"/>
    <xf numFmtId="0" fontId="6" fillId="3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b/>
        <color rgb="FF475569"/>
        <name val="Calibri"/>
      </font>
      <fill>
        <patternFill patternType="solid">
          <fgColor rgb="FFF1F5F9"/>
        </patternFill>
      </fill>
    </dxf>
    <dxf>
      <font>
        <b/>
        <color rgb="FF166534"/>
        <name val="Calibri"/>
      </font>
      <fill>
        <patternFill patternType="solid">
          <fgColor rgb="FFDCFCE7"/>
        </patternFill>
      </fill>
    </dxf>
    <dxf>
      <font>
        <b/>
        <color rgb="FF991B1B"/>
        <name val="Calibri"/>
      </font>
      <fill>
        <patternFill patternType="solid">
          <fgColor rgb="FFFEE2E2"/>
        </patternFill>
      </fill>
    </dxf>
  </dxfs>
  <tableStyles count="0" defaultTableStyle="TableStyleMedium9" defaultPivotStyle="PivotStyleLight16"/>
  <colors>
    <mruColors>
      <color rgb="FFD60093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516288</xdr:colOff>
      <xdr:row>0</xdr:row>
      <xdr:rowOff>104775</xdr:rowOff>
    </xdr:from>
    <xdr:to>
      <xdr:col>1</xdr:col>
      <xdr:colOff>720123</xdr:colOff>
      <xdr:row>4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CCC430-9968-4620-92FD-1EF0CDD95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8" y="104775"/>
          <a:ext cx="721995" cy="710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</xdr:colOff>
      <xdr:row>0</xdr:row>
      <xdr:rowOff>53340</xdr:rowOff>
    </xdr:from>
    <xdr:to>
      <xdr:col>2</xdr:col>
      <xdr:colOff>933483</xdr:colOff>
      <xdr:row>0</xdr:row>
      <xdr:rowOff>933483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C6C943-3C19-910B-DB32-47D22EF29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" y="53340"/>
          <a:ext cx="876333" cy="876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22"/>
  <sheetViews>
    <sheetView showGridLines="0" workbookViewId="0">
      <selection activeCell="B19" sqref="B19:C19"/>
    </sheetView>
  </sheetViews>
  <sheetFormatPr defaultRowHeight="14.4" x14ac:dyDescent="0.3"/>
  <cols>
    <col min="1" max="1" width="3" customWidth="1"/>
    <col min="2" max="2" width="32" customWidth="1"/>
    <col min="3" max="3" width="58" customWidth="1"/>
  </cols>
  <sheetData>
    <row r="2" spans="2:3" ht="36" customHeight="1" x14ac:dyDescent="0.3">
      <c r="B2" s="42" t="s">
        <v>0</v>
      </c>
      <c r="C2" s="41"/>
    </row>
    <row r="3" spans="2:3" ht="19.95" customHeight="1" x14ac:dyDescent="0.3">
      <c r="B3" s="43" t="s">
        <v>1</v>
      </c>
      <c r="C3" s="44"/>
    </row>
    <row r="5" spans="2:3" ht="19.95" customHeight="1" x14ac:dyDescent="0.3">
      <c r="B5" s="40" t="s">
        <v>2</v>
      </c>
      <c r="C5" s="41"/>
    </row>
    <row r="6" spans="2:3" ht="19.95" customHeight="1" x14ac:dyDescent="0.3">
      <c r="B6" s="1" t="s">
        <v>3</v>
      </c>
      <c r="C6" s="2" t="s">
        <v>4</v>
      </c>
    </row>
    <row r="7" spans="2:3" ht="37.200000000000003" customHeight="1" x14ac:dyDescent="0.3">
      <c r="B7" s="3" t="s">
        <v>5</v>
      </c>
      <c r="C7" s="4" t="s">
        <v>6</v>
      </c>
    </row>
    <row r="8" spans="2:3" ht="19.95" customHeight="1" x14ac:dyDescent="0.3">
      <c r="B8" s="1" t="s">
        <v>7</v>
      </c>
      <c r="C8" s="2" t="s">
        <v>8</v>
      </c>
    </row>
    <row r="9" spans="2:3" ht="19.95" customHeight="1" x14ac:dyDescent="0.3">
      <c r="B9" s="3" t="s">
        <v>9</v>
      </c>
      <c r="C9" s="4" t="s">
        <v>10</v>
      </c>
    </row>
    <row r="10" spans="2:3" ht="19.95" customHeight="1" x14ac:dyDescent="0.3">
      <c r="B10" s="1" t="s">
        <v>11</v>
      </c>
      <c r="C10" s="2" t="s">
        <v>12</v>
      </c>
    </row>
    <row r="11" spans="2:3" ht="19.95" customHeight="1" x14ac:dyDescent="0.3">
      <c r="B11" s="3" t="s">
        <v>13</v>
      </c>
      <c r="C11" s="4" t="s">
        <v>14</v>
      </c>
    </row>
    <row r="12" spans="2:3" ht="19.95" customHeight="1" x14ac:dyDescent="0.3">
      <c r="B12" s="3" t="s">
        <v>749</v>
      </c>
      <c r="C12" s="4" t="s">
        <v>750</v>
      </c>
    </row>
    <row r="13" spans="2:3" ht="19.95" customHeight="1" x14ac:dyDescent="0.3">
      <c r="B13" s="1"/>
      <c r="C13" s="2"/>
    </row>
    <row r="14" spans="2:3" ht="19.95" customHeight="1" x14ac:dyDescent="0.3">
      <c r="B14" s="40" t="s">
        <v>15</v>
      </c>
      <c r="C14" s="41"/>
    </row>
    <row r="15" spans="2:3" ht="19.95" customHeight="1" x14ac:dyDescent="0.3">
      <c r="B15" s="1" t="s">
        <v>16</v>
      </c>
      <c r="C15" s="2" t="s">
        <v>17</v>
      </c>
    </row>
    <row r="16" spans="2:3" ht="19.95" customHeight="1" x14ac:dyDescent="0.3">
      <c r="B16" s="3" t="s">
        <v>18</v>
      </c>
      <c r="C16" s="4" t="s">
        <v>19</v>
      </c>
    </row>
    <row r="17" spans="2:3" ht="19.95" customHeight="1" x14ac:dyDescent="0.3">
      <c r="B17" s="1" t="s">
        <v>20</v>
      </c>
      <c r="C17" s="2" t="s">
        <v>21</v>
      </c>
    </row>
    <row r="18" spans="2:3" ht="19.95" customHeight="1" x14ac:dyDescent="0.3">
      <c r="B18" s="3"/>
      <c r="C18" s="4"/>
    </row>
    <row r="19" spans="2:3" ht="19.95" customHeight="1" x14ac:dyDescent="0.3">
      <c r="B19" s="40" t="s">
        <v>22</v>
      </c>
      <c r="C19" s="41"/>
    </row>
    <row r="20" spans="2:3" ht="19.95" customHeight="1" x14ac:dyDescent="0.3">
      <c r="B20" s="3" t="s">
        <v>23</v>
      </c>
      <c r="C20" s="4" t="str">
        <f>IFERROR(StokFisik - StokSistem, "-")</f>
        <v>-</v>
      </c>
    </row>
    <row r="21" spans="2:3" ht="19.95" customHeight="1" x14ac:dyDescent="0.3">
      <c r="B21" s="1" t="s">
        <v>24</v>
      </c>
      <c r="C21" s="2" t="e">
        <f>IF(Selisih=0,"OK",IF(Selisih&gt;0,"Surplus","Kurang"))</f>
        <v>#NAME?</v>
      </c>
    </row>
    <row r="22" spans="2:3" ht="19.95" customHeight="1" x14ac:dyDescent="0.3">
      <c r="B22" s="3" t="s">
        <v>25</v>
      </c>
      <c r="C22" s="4" t="e">
        <f>SUMIF / COUNTIF pada sheet RINGKASAN</f>
        <v>#NAME?</v>
      </c>
    </row>
  </sheetData>
  <mergeCells count="5">
    <mergeCell ref="B14:C14"/>
    <mergeCell ref="B2:C2"/>
    <mergeCell ref="B3:C3"/>
    <mergeCell ref="B5:C5"/>
    <mergeCell ref="B19:C19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C8CF-49F0-4339-90D6-0C5D714F6472}">
  <sheetPr codeName="Sheet2"/>
  <dimension ref="A1:J697"/>
  <sheetViews>
    <sheetView showGridLines="0" workbookViewId="0">
      <selection activeCell="F10" sqref="F10"/>
    </sheetView>
  </sheetViews>
  <sheetFormatPr defaultRowHeight="14.4" x14ac:dyDescent="0.3"/>
  <cols>
    <col min="1" max="1" width="6.33203125" customWidth="1"/>
    <col min="2" max="2" width="13.109375" customWidth="1"/>
    <col min="3" max="3" width="39.6640625" style="27" customWidth="1"/>
    <col min="5" max="5" width="8.88671875" style="51"/>
    <col min="8" max="8" width="11.33203125" bestFit="1" customWidth="1"/>
    <col min="9" max="9" width="11.44140625" bestFit="1" customWidth="1"/>
  </cols>
  <sheetData>
    <row r="1" spans="1:10" x14ac:dyDescent="0.3">
      <c r="A1" s="49" t="s">
        <v>751</v>
      </c>
      <c r="B1" s="49"/>
      <c r="C1" s="49"/>
      <c r="D1" s="49"/>
      <c r="E1" s="49"/>
      <c r="F1" s="49"/>
      <c r="G1" s="49"/>
      <c r="H1" s="49"/>
      <c r="I1" s="49"/>
    </row>
    <row r="2" spans="1:10" x14ac:dyDescent="0.3">
      <c r="A2" s="49"/>
      <c r="B2" s="49"/>
      <c r="C2" s="49"/>
      <c r="D2" s="49"/>
      <c r="E2" s="49"/>
      <c r="F2" s="49"/>
      <c r="G2" s="49"/>
      <c r="H2" s="49"/>
      <c r="I2" s="49"/>
    </row>
    <row r="3" spans="1:10" x14ac:dyDescent="0.3">
      <c r="A3" s="49"/>
      <c r="B3" s="49"/>
      <c r="C3" s="49"/>
      <c r="D3" s="49"/>
      <c r="E3" s="49"/>
      <c r="F3" s="49"/>
      <c r="G3" s="49"/>
      <c r="H3" s="49"/>
      <c r="I3" s="49"/>
    </row>
    <row r="4" spans="1:10" x14ac:dyDescent="0.3">
      <c r="A4" s="49"/>
      <c r="B4" s="49"/>
      <c r="C4" s="49"/>
      <c r="D4" s="49"/>
      <c r="E4" s="49"/>
      <c r="F4" s="49"/>
      <c r="G4" s="49"/>
      <c r="H4" s="49"/>
      <c r="I4" s="49"/>
    </row>
    <row r="5" spans="1:10" x14ac:dyDescent="0.3">
      <c r="A5" s="49"/>
      <c r="B5" s="49"/>
      <c r="C5" s="49"/>
      <c r="D5" s="49"/>
      <c r="E5" s="49"/>
      <c r="F5" s="49"/>
      <c r="G5" s="49"/>
      <c r="H5" s="49"/>
      <c r="I5" s="49"/>
    </row>
    <row r="6" spans="1:10" x14ac:dyDescent="0.3">
      <c r="A6" s="47" t="s">
        <v>26</v>
      </c>
      <c r="B6" s="47"/>
      <c r="C6" s="44"/>
      <c r="D6" s="44"/>
      <c r="E6" s="44"/>
      <c r="F6" s="44"/>
      <c r="G6" s="44"/>
      <c r="H6" s="44"/>
      <c r="I6" s="44"/>
      <c r="J6" s="44"/>
    </row>
    <row r="8" spans="1:10" x14ac:dyDescent="0.3">
      <c r="A8" s="38" t="s">
        <v>748</v>
      </c>
      <c r="B8" s="36" t="s">
        <v>752</v>
      </c>
      <c r="C8" s="39" t="s">
        <v>747</v>
      </c>
      <c r="D8" s="36" t="s">
        <v>746</v>
      </c>
      <c r="E8" s="36" t="s">
        <v>745</v>
      </c>
      <c r="F8" s="36" t="s">
        <v>744</v>
      </c>
      <c r="G8" s="36" t="s">
        <v>743</v>
      </c>
      <c r="H8" s="36" t="s">
        <v>742</v>
      </c>
      <c r="I8" s="36" t="s">
        <v>741</v>
      </c>
    </row>
    <row r="9" spans="1:10" x14ac:dyDescent="0.3">
      <c r="A9" s="38"/>
      <c r="B9" s="37"/>
      <c r="C9" s="39"/>
      <c r="D9" s="37"/>
      <c r="E9" s="37"/>
      <c r="F9" s="37"/>
      <c r="G9" s="37"/>
      <c r="H9" s="37"/>
      <c r="I9" s="37"/>
    </row>
    <row r="10" spans="1:10" x14ac:dyDescent="0.3">
      <c r="A10" s="30">
        <v>1</v>
      </c>
      <c r="B10" s="50">
        <v>46175</v>
      </c>
      <c r="C10" s="33" t="s">
        <v>740</v>
      </c>
      <c r="D10" s="30" t="s">
        <v>88</v>
      </c>
      <c r="E10" s="30">
        <v>6</v>
      </c>
      <c r="F10" s="26"/>
      <c r="G10" s="30">
        <f>E10-F10</f>
        <v>6</v>
      </c>
      <c r="H10" s="29">
        <v>116550</v>
      </c>
      <c r="I10" s="28">
        <f t="shared" ref="I10:I73" si="0">G10*H10</f>
        <v>699300</v>
      </c>
    </row>
    <row r="11" spans="1:10" x14ac:dyDescent="0.3">
      <c r="A11" s="30">
        <v>2</v>
      </c>
      <c r="B11" s="30"/>
      <c r="C11" s="33" t="s">
        <v>739</v>
      </c>
      <c r="D11" s="30" t="s">
        <v>88</v>
      </c>
      <c r="E11" s="30">
        <v>1</v>
      </c>
      <c r="F11" s="26"/>
      <c r="G11" s="30">
        <f t="shared" ref="G11:G74" si="1">E11-F11</f>
        <v>1</v>
      </c>
      <c r="H11" s="29">
        <v>17205</v>
      </c>
      <c r="I11" s="28">
        <f t="shared" si="0"/>
        <v>17205</v>
      </c>
    </row>
    <row r="12" spans="1:10" x14ac:dyDescent="0.3">
      <c r="A12" s="30">
        <v>3</v>
      </c>
      <c r="B12" s="30"/>
      <c r="C12" s="33" t="s">
        <v>738</v>
      </c>
      <c r="D12" s="30" t="s">
        <v>88</v>
      </c>
      <c r="E12" s="30">
        <v>3</v>
      </c>
      <c r="F12" s="26"/>
      <c r="G12" s="30">
        <f t="shared" si="1"/>
        <v>3</v>
      </c>
      <c r="H12" s="29">
        <v>58275</v>
      </c>
      <c r="I12" s="28">
        <f t="shared" si="0"/>
        <v>174825</v>
      </c>
    </row>
    <row r="13" spans="1:10" x14ac:dyDescent="0.3">
      <c r="A13" s="30">
        <v>4</v>
      </c>
      <c r="B13" s="30"/>
      <c r="C13" s="33" t="s">
        <v>737</v>
      </c>
      <c r="D13" s="30" t="s">
        <v>88</v>
      </c>
      <c r="E13" s="30">
        <v>2</v>
      </c>
      <c r="F13" s="26"/>
      <c r="G13" s="30">
        <f t="shared" si="1"/>
        <v>2</v>
      </c>
      <c r="H13" s="29">
        <v>48100</v>
      </c>
      <c r="I13" s="28">
        <f t="shared" si="0"/>
        <v>96200</v>
      </c>
    </row>
    <row r="14" spans="1:10" x14ac:dyDescent="0.3">
      <c r="A14" s="30">
        <v>5</v>
      </c>
      <c r="B14" s="30"/>
      <c r="C14" s="33" t="s">
        <v>736</v>
      </c>
      <c r="D14" s="30" t="s">
        <v>88</v>
      </c>
      <c r="E14" s="30">
        <v>4</v>
      </c>
      <c r="F14" s="26"/>
      <c r="G14" s="30">
        <f t="shared" si="1"/>
        <v>4</v>
      </c>
      <c r="H14" s="29">
        <v>131316</v>
      </c>
      <c r="I14" s="28">
        <f t="shared" si="0"/>
        <v>525264</v>
      </c>
    </row>
    <row r="15" spans="1:10" x14ac:dyDescent="0.3">
      <c r="A15" s="30">
        <v>6</v>
      </c>
      <c r="B15" s="30"/>
      <c r="C15" s="33" t="s">
        <v>735</v>
      </c>
      <c r="D15" s="30" t="s">
        <v>88</v>
      </c>
      <c r="E15" s="30">
        <v>4</v>
      </c>
      <c r="F15" s="26"/>
      <c r="G15" s="30">
        <f t="shared" si="1"/>
        <v>4</v>
      </c>
      <c r="H15" s="29">
        <v>83200</v>
      </c>
      <c r="I15" s="28">
        <f t="shared" si="0"/>
        <v>332800</v>
      </c>
    </row>
    <row r="16" spans="1:10" x14ac:dyDescent="0.3">
      <c r="A16" s="30">
        <v>7</v>
      </c>
      <c r="B16" s="30"/>
      <c r="C16" s="33" t="s">
        <v>734</v>
      </c>
      <c r="D16" s="30" t="s">
        <v>88</v>
      </c>
      <c r="E16" s="30">
        <v>2</v>
      </c>
      <c r="F16" s="26"/>
      <c r="G16" s="30">
        <f t="shared" si="1"/>
        <v>2</v>
      </c>
      <c r="H16" s="29">
        <v>47752</v>
      </c>
      <c r="I16" s="28">
        <f t="shared" si="0"/>
        <v>95504</v>
      </c>
    </row>
    <row r="17" spans="1:9" x14ac:dyDescent="0.3">
      <c r="A17" s="30">
        <v>8</v>
      </c>
      <c r="B17" s="30"/>
      <c r="C17" s="33" t="s">
        <v>733</v>
      </c>
      <c r="D17" s="30" t="s">
        <v>88</v>
      </c>
      <c r="E17" s="30">
        <v>3</v>
      </c>
      <c r="F17" s="26"/>
      <c r="G17" s="30">
        <f t="shared" si="1"/>
        <v>3</v>
      </c>
      <c r="H17" s="29">
        <v>76502.850000000006</v>
      </c>
      <c r="I17" s="28">
        <f t="shared" si="0"/>
        <v>229508.55000000002</v>
      </c>
    </row>
    <row r="18" spans="1:9" x14ac:dyDescent="0.3">
      <c r="A18" s="30">
        <v>9</v>
      </c>
      <c r="B18" s="30"/>
      <c r="C18" s="33" t="s">
        <v>732</v>
      </c>
      <c r="D18" s="30" t="s">
        <v>88</v>
      </c>
      <c r="E18" s="30">
        <v>2</v>
      </c>
      <c r="F18" s="26"/>
      <c r="G18" s="30">
        <f t="shared" si="1"/>
        <v>2</v>
      </c>
      <c r="H18" s="29">
        <v>47188</v>
      </c>
      <c r="I18" s="28">
        <f t="shared" si="0"/>
        <v>94376</v>
      </c>
    </row>
    <row r="19" spans="1:9" x14ac:dyDescent="0.3">
      <c r="A19" s="30">
        <v>10</v>
      </c>
      <c r="B19" s="30"/>
      <c r="C19" s="33" t="s">
        <v>731</v>
      </c>
      <c r="D19" s="30" t="s">
        <v>88</v>
      </c>
      <c r="E19" s="30">
        <v>2</v>
      </c>
      <c r="F19" s="26"/>
      <c r="G19" s="30">
        <f t="shared" si="1"/>
        <v>2</v>
      </c>
      <c r="H19" s="29">
        <v>47000</v>
      </c>
      <c r="I19" s="28">
        <f t="shared" si="0"/>
        <v>94000</v>
      </c>
    </row>
    <row r="20" spans="1:9" x14ac:dyDescent="0.3">
      <c r="A20" s="30">
        <v>11</v>
      </c>
      <c r="B20" s="30"/>
      <c r="C20" s="33" t="s">
        <v>730</v>
      </c>
      <c r="D20" s="30" t="s">
        <v>88</v>
      </c>
      <c r="E20" s="30">
        <v>3</v>
      </c>
      <c r="F20" s="26"/>
      <c r="G20" s="30">
        <f t="shared" si="1"/>
        <v>3</v>
      </c>
      <c r="H20" s="29">
        <v>58500</v>
      </c>
      <c r="I20" s="28">
        <f t="shared" si="0"/>
        <v>175500</v>
      </c>
    </row>
    <row r="21" spans="1:9" x14ac:dyDescent="0.3">
      <c r="A21" s="30">
        <v>12</v>
      </c>
      <c r="B21" s="30"/>
      <c r="C21" s="33" t="s">
        <v>729</v>
      </c>
      <c r="D21" s="30" t="s">
        <v>88</v>
      </c>
      <c r="E21" s="30">
        <v>3</v>
      </c>
      <c r="F21" s="26"/>
      <c r="G21" s="30">
        <f t="shared" si="1"/>
        <v>3</v>
      </c>
      <c r="H21" s="29">
        <v>43012.5</v>
      </c>
      <c r="I21" s="28">
        <f t="shared" si="0"/>
        <v>129037.5</v>
      </c>
    </row>
    <row r="22" spans="1:9" x14ac:dyDescent="0.3">
      <c r="A22" s="30">
        <v>13</v>
      </c>
      <c r="B22" s="30"/>
      <c r="C22" s="33" t="s">
        <v>728</v>
      </c>
      <c r="D22" s="30" t="s">
        <v>88</v>
      </c>
      <c r="E22" s="30">
        <v>2</v>
      </c>
      <c r="F22" s="26"/>
      <c r="G22" s="30">
        <f t="shared" si="1"/>
        <v>2</v>
      </c>
      <c r="H22" s="29">
        <v>98000</v>
      </c>
      <c r="I22" s="28">
        <f t="shared" si="0"/>
        <v>196000</v>
      </c>
    </row>
    <row r="23" spans="1:9" x14ac:dyDescent="0.3">
      <c r="A23" s="30">
        <v>14</v>
      </c>
      <c r="B23" s="30"/>
      <c r="C23" s="33" t="s">
        <v>727</v>
      </c>
      <c r="D23" s="30" t="s">
        <v>88</v>
      </c>
      <c r="E23" s="30">
        <v>1</v>
      </c>
      <c r="F23" s="26"/>
      <c r="G23" s="30">
        <f t="shared" si="1"/>
        <v>1</v>
      </c>
      <c r="H23" s="29">
        <v>49000</v>
      </c>
      <c r="I23" s="28">
        <f t="shared" si="0"/>
        <v>49000</v>
      </c>
    </row>
    <row r="24" spans="1:9" x14ac:dyDescent="0.3">
      <c r="A24" s="30">
        <v>15</v>
      </c>
      <c r="B24" s="30"/>
      <c r="C24" s="33" t="s">
        <v>726</v>
      </c>
      <c r="D24" s="30" t="s">
        <v>88</v>
      </c>
      <c r="E24" s="30">
        <v>4</v>
      </c>
      <c r="F24" s="26"/>
      <c r="G24" s="30">
        <f t="shared" si="1"/>
        <v>4</v>
      </c>
      <c r="H24" s="29">
        <v>118400</v>
      </c>
      <c r="I24" s="28">
        <f t="shared" si="0"/>
        <v>473600</v>
      </c>
    </row>
    <row r="25" spans="1:9" x14ac:dyDescent="0.3">
      <c r="A25" s="30">
        <v>16</v>
      </c>
      <c r="B25" s="30"/>
      <c r="C25" s="33" t="s">
        <v>725</v>
      </c>
      <c r="D25" s="30" t="s">
        <v>88</v>
      </c>
      <c r="E25" s="30">
        <v>1</v>
      </c>
      <c r="F25" s="26"/>
      <c r="G25" s="30">
        <f t="shared" si="1"/>
        <v>1</v>
      </c>
      <c r="H25" s="29">
        <v>19200</v>
      </c>
      <c r="I25" s="28">
        <f t="shared" si="0"/>
        <v>19200</v>
      </c>
    </row>
    <row r="26" spans="1:9" x14ac:dyDescent="0.3">
      <c r="A26" s="30">
        <v>17</v>
      </c>
      <c r="B26" s="30"/>
      <c r="C26" s="33" t="s">
        <v>724</v>
      </c>
      <c r="D26" s="30" t="s">
        <v>88</v>
      </c>
      <c r="E26" s="30">
        <v>1</v>
      </c>
      <c r="F26" s="26"/>
      <c r="G26" s="30">
        <f t="shared" si="1"/>
        <v>1</v>
      </c>
      <c r="H26" s="29">
        <v>18907.2</v>
      </c>
      <c r="I26" s="28">
        <f t="shared" si="0"/>
        <v>18907.2</v>
      </c>
    </row>
    <row r="27" spans="1:9" x14ac:dyDescent="0.3">
      <c r="A27" s="30">
        <v>18</v>
      </c>
      <c r="B27" s="30"/>
      <c r="C27" s="33" t="s">
        <v>723</v>
      </c>
      <c r="D27" s="30" t="s">
        <v>88</v>
      </c>
      <c r="E27" s="30">
        <v>2</v>
      </c>
      <c r="F27" s="26"/>
      <c r="G27" s="30">
        <f t="shared" si="1"/>
        <v>2</v>
      </c>
      <c r="H27" s="29">
        <v>106240</v>
      </c>
      <c r="I27" s="28">
        <f t="shared" si="0"/>
        <v>212480</v>
      </c>
    </row>
    <row r="28" spans="1:9" x14ac:dyDescent="0.3">
      <c r="A28" s="30">
        <v>19</v>
      </c>
      <c r="B28" s="30"/>
      <c r="C28" s="33" t="s">
        <v>722</v>
      </c>
      <c r="D28" s="30" t="s">
        <v>88</v>
      </c>
      <c r="E28" s="30">
        <v>1</v>
      </c>
      <c r="F28" s="26"/>
      <c r="G28" s="30">
        <f t="shared" si="1"/>
        <v>1</v>
      </c>
      <c r="H28" s="29">
        <v>19920</v>
      </c>
      <c r="I28" s="28">
        <f t="shared" si="0"/>
        <v>19920</v>
      </c>
    </row>
    <row r="29" spans="1:9" x14ac:dyDescent="0.3">
      <c r="A29" s="30">
        <v>20</v>
      </c>
      <c r="B29" s="30"/>
      <c r="C29" s="33" t="s">
        <v>721</v>
      </c>
      <c r="D29" s="30" t="s">
        <v>88</v>
      </c>
      <c r="E29" s="30">
        <v>2</v>
      </c>
      <c r="F29" s="26"/>
      <c r="G29" s="30">
        <f t="shared" si="1"/>
        <v>2</v>
      </c>
      <c r="H29" s="29">
        <v>27270</v>
      </c>
      <c r="I29" s="28">
        <f t="shared" si="0"/>
        <v>54540</v>
      </c>
    </row>
    <row r="30" spans="1:9" x14ac:dyDescent="0.3">
      <c r="A30" s="30">
        <v>21</v>
      </c>
      <c r="B30" s="30"/>
      <c r="C30" s="33" t="s">
        <v>720</v>
      </c>
      <c r="D30" s="30" t="s">
        <v>88</v>
      </c>
      <c r="E30" s="30">
        <v>2</v>
      </c>
      <c r="F30" s="26"/>
      <c r="G30" s="30">
        <f t="shared" si="1"/>
        <v>2</v>
      </c>
      <c r="H30" s="29">
        <v>28799</v>
      </c>
      <c r="I30" s="28">
        <f t="shared" si="0"/>
        <v>57598</v>
      </c>
    </row>
    <row r="31" spans="1:9" x14ac:dyDescent="0.3">
      <c r="A31" s="30">
        <v>22</v>
      </c>
      <c r="B31" s="30"/>
      <c r="C31" s="33" t="s">
        <v>719</v>
      </c>
      <c r="D31" s="30" t="s">
        <v>88</v>
      </c>
      <c r="E31" s="30">
        <v>2</v>
      </c>
      <c r="F31" s="26"/>
      <c r="G31" s="30">
        <f t="shared" si="1"/>
        <v>2</v>
      </c>
      <c r="H31" s="29">
        <v>45000</v>
      </c>
      <c r="I31" s="28">
        <f t="shared" si="0"/>
        <v>90000</v>
      </c>
    </row>
    <row r="32" spans="1:9" x14ac:dyDescent="0.3">
      <c r="A32" s="30">
        <v>23</v>
      </c>
      <c r="B32" s="30"/>
      <c r="C32" s="33" t="s">
        <v>718</v>
      </c>
      <c r="D32" s="30" t="s">
        <v>88</v>
      </c>
      <c r="E32" s="30">
        <v>2</v>
      </c>
      <c r="F32" s="26"/>
      <c r="G32" s="30">
        <f t="shared" si="1"/>
        <v>2</v>
      </c>
      <c r="H32" s="29">
        <v>45000</v>
      </c>
      <c r="I32" s="28">
        <f t="shared" si="0"/>
        <v>90000</v>
      </c>
    </row>
    <row r="33" spans="1:9" x14ac:dyDescent="0.3">
      <c r="A33" s="30">
        <v>24</v>
      </c>
      <c r="B33" s="30"/>
      <c r="C33" s="33" t="s">
        <v>717</v>
      </c>
      <c r="D33" s="30" t="s">
        <v>88</v>
      </c>
      <c r="E33" s="30">
        <v>2</v>
      </c>
      <c r="F33" s="26"/>
      <c r="G33" s="30">
        <f t="shared" si="1"/>
        <v>2</v>
      </c>
      <c r="H33" s="29">
        <v>59520</v>
      </c>
      <c r="I33" s="28">
        <f t="shared" si="0"/>
        <v>119040</v>
      </c>
    </row>
    <row r="34" spans="1:9" x14ac:dyDescent="0.3">
      <c r="A34" s="30">
        <v>25</v>
      </c>
      <c r="B34" s="30"/>
      <c r="C34" s="33" t="s">
        <v>716</v>
      </c>
      <c r="D34" s="30" t="s">
        <v>88</v>
      </c>
      <c r="E34" s="30">
        <v>1</v>
      </c>
      <c r="F34" s="26"/>
      <c r="G34" s="30">
        <f t="shared" si="1"/>
        <v>1</v>
      </c>
      <c r="H34" s="29">
        <v>45200</v>
      </c>
      <c r="I34" s="28">
        <f t="shared" si="0"/>
        <v>45200</v>
      </c>
    </row>
    <row r="35" spans="1:9" x14ac:dyDescent="0.3">
      <c r="A35" s="30">
        <v>26</v>
      </c>
      <c r="B35" s="30"/>
      <c r="C35" s="33" t="s">
        <v>715</v>
      </c>
      <c r="D35" s="30" t="s">
        <v>88</v>
      </c>
      <c r="E35" s="30">
        <v>2</v>
      </c>
      <c r="F35" s="26"/>
      <c r="G35" s="30">
        <f t="shared" si="1"/>
        <v>2</v>
      </c>
      <c r="H35" s="29">
        <v>59520</v>
      </c>
      <c r="I35" s="28">
        <f t="shared" si="0"/>
        <v>119040</v>
      </c>
    </row>
    <row r="36" spans="1:9" x14ac:dyDescent="0.3">
      <c r="A36" s="30">
        <v>27</v>
      </c>
      <c r="B36" s="30"/>
      <c r="C36" s="33" t="s">
        <v>163</v>
      </c>
      <c r="D36" s="30" t="s">
        <v>88</v>
      </c>
      <c r="E36" s="30">
        <v>2</v>
      </c>
      <c r="F36" s="26"/>
      <c r="G36" s="30">
        <f t="shared" si="1"/>
        <v>2</v>
      </c>
      <c r="H36" s="29">
        <v>19399.650000000001</v>
      </c>
      <c r="I36" s="28">
        <f t="shared" si="0"/>
        <v>38799.300000000003</v>
      </c>
    </row>
    <row r="37" spans="1:9" x14ac:dyDescent="0.3">
      <c r="A37" s="30">
        <v>28</v>
      </c>
      <c r="B37" s="30"/>
      <c r="C37" s="33" t="s">
        <v>714</v>
      </c>
      <c r="D37" s="30" t="s">
        <v>88</v>
      </c>
      <c r="E37" s="30">
        <v>2</v>
      </c>
      <c r="F37" s="26"/>
      <c r="G37" s="30">
        <f t="shared" si="1"/>
        <v>2</v>
      </c>
      <c r="H37" s="29">
        <v>19399.650000000001</v>
      </c>
      <c r="I37" s="28">
        <f t="shared" si="0"/>
        <v>38799.300000000003</v>
      </c>
    </row>
    <row r="38" spans="1:9" x14ac:dyDescent="0.3">
      <c r="A38" s="30">
        <v>29</v>
      </c>
      <c r="B38" s="30"/>
      <c r="C38" s="33" t="s">
        <v>713</v>
      </c>
      <c r="D38" s="30" t="s">
        <v>88</v>
      </c>
      <c r="E38" s="30">
        <v>2</v>
      </c>
      <c r="F38" s="26"/>
      <c r="G38" s="30">
        <f t="shared" si="1"/>
        <v>2</v>
      </c>
      <c r="H38" s="29">
        <v>19399.650000000001</v>
      </c>
      <c r="I38" s="28">
        <f t="shared" si="0"/>
        <v>38799.300000000003</v>
      </c>
    </row>
    <row r="39" spans="1:9" x14ac:dyDescent="0.3">
      <c r="A39" s="30">
        <v>30</v>
      </c>
      <c r="B39" s="30"/>
      <c r="C39" s="33" t="s">
        <v>712</v>
      </c>
      <c r="D39" s="30" t="s">
        <v>88</v>
      </c>
      <c r="E39" s="30">
        <v>2</v>
      </c>
      <c r="F39" s="26"/>
      <c r="G39" s="30">
        <f t="shared" si="1"/>
        <v>2</v>
      </c>
      <c r="H39" s="29">
        <v>33400</v>
      </c>
      <c r="I39" s="28">
        <f t="shared" si="0"/>
        <v>66800</v>
      </c>
    </row>
    <row r="40" spans="1:9" x14ac:dyDescent="0.3">
      <c r="A40" s="30">
        <v>31</v>
      </c>
      <c r="B40" s="30"/>
      <c r="C40" s="33" t="s">
        <v>711</v>
      </c>
      <c r="D40" s="30" t="s">
        <v>88</v>
      </c>
      <c r="E40" s="30">
        <v>2</v>
      </c>
      <c r="F40" s="26"/>
      <c r="G40" s="30">
        <f t="shared" si="1"/>
        <v>2</v>
      </c>
      <c r="H40" s="29">
        <v>21000</v>
      </c>
      <c r="I40" s="28">
        <f t="shared" si="0"/>
        <v>42000</v>
      </c>
    </row>
    <row r="41" spans="1:9" x14ac:dyDescent="0.3">
      <c r="A41" s="30">
        <v>32</v>
      </c>
      <c r="B41" s="30"/>
      <c r="C41" s="33" t="s">
        <v>710</v>
      </c>
      <c r="D41" s="30" t="s">
        <v>88</v>
      </c>
      <c r="E41" s="30">
        <v>1</v>
      </c>
      <c r="F41" s="26"/>
      <c r="G41" s="30">
        <f t="shared" si="1"/>
        <v>1</v>
      </c>
      <c r="H41" s="29">
        <v>10500</v>
      </c>
      <c r="I41" s="28">
        <f t="shared" si="0"/>
        <v>10500</v>
      </c>
    </row>
    <row r="42" spans="1:9" x14ac:dyDescent="0.3">
      <c r="A42" s="30">
        <v>33</v>
      </c>
      <c r="B42" s="30"/>
      <c r="C42" s="33" t="s">
        <v>709</v>
      </c>
      <c r="D42" s="30" t="s">
        <v>88</v>
      </c>
      <c r="E42" s="30">
        <v>1</v>
      </c>
      <c r="F42" s="26"/>
      <c r="G42" s="30">
        <f t="shared" si="1"/>
        <v>1</v>
      </c>
      <c r="H42" s="29">
        <v>10500</v>
      </c>
      <c r="I42" s="28">
        <f t="shared" si="0"/>
        <v>10500</v>
      </c>
    </row>
    <row r="43" spans="1:9" x14ac:dyDescent="0.3">
      <c r="A43" s="30">
        <v>34</v>
      </c>
      <c r="B43" s="30"/>
      <c r="C43" s="33" t="s">
        <v>708</v>
      </c>
      <c r="D43" s="30" t="s">
        <v>88</v>
      </c>
      <c r="E43" s="30">
        <v>1</v>
      </c>
      <c r="F43" s="26"/>
      <c r="G43" s="30">
        <f t="shared" si="1"/>
        <v>1</v>
      </c>
      <c r="H43" s="29">
        <v>10500</v>
      </c>
      <c r="I43" s="28">
        <f t="shared" si="0"/>
        <v>10500</v>
      </c>
    </row>
    <row r="44" spans="1:9" x14ac:dyDescent="0.3">
      <c r="A44" s="30">
        <v>35</v>
      </c>
      <c r="B44" s="30"/>
      <c r="C44" s="33" t="s">
        <v>707</v>
      </c>
      <c r="D44" s="30" t="s">
        <v>88</v>
      </c>
      <c r="E44" s="30">
        <v>2</v>
      </c>
      <c r="F44" s="26"/>
      <c r="G44" s="30">
        <f t="shared" si="1"/>
        <v>2</v>
      </c>
      <c r="H44" s="29">
        <v>51332</v>
      </c>
      <c r="I44" s="28">
        <f t="shared" si="0"/>
        <v>102664</v>
      </c>
    </row>
    <row r="45" spans="1:9" x14ac:dyDescent="0.3">
      <c r="A45" s="30">
        <v>36</v>
      </c>
      <c r="B45" s="30"/>
      <c r="C45" s="33" t="s">
        <v>706</v>
      </c>
      <c r="D45" s="30" t="s">
        <v>88</v>
      </c>
      <c r="E45" s="30">
        <v>6</v>
      </c>
      <c r="F45" s="26"/>
      <c r="G45" s="30">
        <f t="shared" si="1"/>
        <v>6</v>
      </c>
      <c r="H45" s="29">
        <v>219120</v>
      </c>
      <c r="I45" s="28">
        <f t="shared" si="0"/>
        <v>1314720</v>
      </c>
    </row>
    <row r="46" spans="1:9" x14ac:dyDescent="0.3">
      <c r="A46" s="30">
        <v>37</v>
      </c>
      <c r="B46" s="30"/>
      <c r="C46" s="33" t="s">
        <v>705</v>
      </c>
      <c r="D46" s="30" t="s">
        <v>88</v>
      </c>
      <c r="E46" s="30">
        <v>4</v>
      </c>
      <c r="F46" s="26"/>
      <c r="G46" s="30">
        <f t="shared" si="1"/>
        <v>4</v>
      </c>
      <c r="H46" s="29">
        <v>115200</v>
      </c>
      <c r="I46" s="28">
        <f t="shared" si="0"/>
        <v>460800</v>
      </c>
    </row>
    <row r="47" spans="1:9" x14ac:dyDescent="0.3">
      <c r="A47" s="30">
        <v>38</v>
      </c>
      <c r="B47" s="30"/>
      <c r="C47" s="33" t="s">
        <v>704</v>
      </c>
      <c r="D47" s="30" t="s">
        <v>88</v>
      </c>
      <c r="E47" s="30">
        <v>2</v>
      </c>
      <c r="F47" s="26"/>
      <c r="G47" s="30">
        <f t="shared" si="1"/>
        <v>2</v>
      </c>
      <c r="H47" s="29">
        <v>79236</v>
      </c>
      <c r="I47" s="28">
        <f t="shared" si="0"/>
        <v>158472</v>
      </c>
    </row>
    <row r="48" spans="1:9" x14ac:dyDescent="0.3">
      <c r="A48" s="30">
        <v>39</v>
      </c>
      <c r="B48" s="30"/>
      <c r="C48" s="33" t="s">
        <v>703</v>
      </c>
      <c r="D48" s="30" t="s">
        <v>88</v>
      </c>
      <c r="E48" s="30">
        <v>1</v>
      </c>
      <c r="F48" s="26"/>
      <c r="G48" s="30">
        <f t="shared" si="1"/>
        <v>1</v>
      </c>
      <c r="H48" s="29">
        <v>14000</v>
      </c>
      <c r="I48" s="28">
        <f t="shared" si="0"/>
        <v>14000</v>
      </c>
    </row>
    <row r="49" spans="1:9" x14ac:dyDescent="0.3">
      <c r="A49" s="30">
        <v>40</v>
      </c>
      <c r="B49" s="30"/>
      <c r="C49" s="33" t="s">
        <v>702</v>
      </c>
      <c r="D49" s="30" t="s">
        <v>88</v>
      </c>
      <c r="E49" s="30">
        <v>1</v>
      </c>
      <c r="F49" s="26"/>
      <c r="G49" s="30">
        <f t="shared" si="1"/>
        <v>1</v>
      </c>
      <c r="H49" s="29">
        <v>14000</v>
      </c>
      <c r="I49" s="28">
        <f t="shared" si="0"/>
        <v>14000</v>
      </c>
    </row>
    <row r="50" spans="1:9" x14ac:dyDescent="0.3">
      <c r="A50" s="30">
        <v>41</v>
      </c>
      <c r="B50" s="30"/>
      <c r="C50" s="33" t="s">
        <v>701</v>
      </c>
      <c r="D50" s="30" t="s">
        <v>88</v>
      </c>
      <c r="E50" s="30">
        <v>1</v>
      </c>
      <c r="F50" s="26"/>
      <c r="G50" s="30">
        <f t="shared" si="1"/>
        <v>1</v>
      </c>
      <c r="H50" s="29">
        <v>14025</v>
      </c>
      <c r="I50" s="28">
        <f t="shared" si="0"/>
        <v>14025</v>
      </c>
    </row>
    <row r="51" spans="1:9" x14ac:dyDescent="0.3">
      <c r="A51" s="30">
        <v>42</v>
      </c>
      <c r="B51" s="30"/>
      <c r="C51" s="33" t="s">
        <v>700</v>
      </c>
      <c r="D51" s="30" t="s">
        <v>88</v>
      </c>
      <c r="E51" s="30">
        <v>1</v>
      </c>
      <c r="F51" s="26"/>
      <c r="G51" s="30">
        <f t="shared" si="1"/>
        <v>1</v>
      </c>
      <c r="H51" s="29">
        <v>15675</v>
      </c>
      <c r="I51" s="28">
        <f t="shared" si="0"/>
        <v>15675</v>
      </c>
    </row>
    <row r="52" spans="1:9" x14ac:dyDescent="0.3">
      <c r="A52" s="30">
        <v>43</v>
      </c>
      <c r="B52" s="30"/>
      <c r="C52" s="33" t="s">
        <v>699</v>
      </c>
      <c r="D52" s="30" t="s">
        <v>88</v>
      </c>
      <c r="E52" s="30">
        <v>1</v>
      </c>
      <c r="F52" s="26"/>
      <c r="G52" s="30">
        <f t="shared" si="1"/>
        <v>1</v>
      </c>
      <c r="H52" s="29">
        <v>20542.5</v>
      </c>
      <c r="I52" s="28">
        <f t="shared" si="0"/>
        <v>20542.5</v>
      </c>
    </row>
    <row r="53" spans="1:9" x14ac:dyDescent="0.3">
      <c r="A53" s="30">
        <v>44</v>
      </c>
      <c r="B53" s="30"/>
      <c r="C53" s="33" t="s">
        <v>698</v>
      </c>
      <c r="D53" s="30" t="s">
        <v>88</v>
      </c>
      <c r="E53" s="30">
        <v>1</v>
      </c>
      <c r="F53" s="26"/>
      <c r="G53" s="30">
        <f t="shared" si="1"/>
        <v>1</v>
      </c>
      <c r="H53" s="29">
        <v>14025</v>
      </c>
      <c r="I53" s="28">
        <f t="shared" si="0"/>
        <v>14025</v>
      </c>
    </row>
    <row r="54" spans="1:9" x14ac:dyDescent="0.3">
      <c r="A54" s="30">
        <v>45</v>
      </c>
      <c r="B54" s="30"/>
      <c r="C54" s="33" t="s">
        <v>697</v>
      </c>
      <c r="D54" s="30" t="s">
        <v>88</v>
      </c>
      <c r="E54" s="30">
        <v>1</v>
      </c>
      <c r="F54" s="26"/>
      <c r="G54" s="30">
        <f t="shared" si="1"/>
        <v>1</v>
      </c>
      <c r="H54" s="29">
        <v>15675</v>
      </c>
      <c r="I54" s="28">
        <f t="shared" si="0"/>
        <v>15675</v>
      </c>
    </row>
    <row r="55" spans="1:9" x14ac:dyDescent="0.3">
      <c r="A55" s="30">
        <v>46</v>
      </c>
      <c r="B55" s="30"/>
      <c r="C55" s="33" t="s">
        <v>696</v>
      </c>
      <c r="D55" s="30" t="s">
        <v>88</v>
      </c>
      <c r="E55" s="30">
        <v>1</v>
      </c>
      <c r="F55" s="26"/>
      <c r="G55" s="30">
        <f t="shared" si="1"/>
        <v>1</v>
      </c>
      <c r="H55" s="29">
        <v>14025</v>
      </c>
      <c r="I55" s="28">
        <f t="shared" si="0"/>
        <v>14025</v>
      </c>
    </row>
    <row r="56" spans="1:9" x14ac:dyDescent="0.3">
      <c r="A56" s="30">
        <v>47</v>
      </c>
      <c r="B56" s="30"/>
      <c r="C56" s="33" t="s">
        <v>695</v>
      </c>
      <c r="D56" s="30" t="s">
        <v>88</v>
      </c>
      <c r="E56" s="30">
        <v>1</v>
      </c>
      <c r="F56" s="26"/>
      <c r="G56" s="30">
        <f t="shared" si="1"/>
        <v>1</v>
      </c>
      <c r="H56" s="29">
        <v>20542.5</v>
      </c>
      <c r="I56" s="28">
        <f t="shared" si="0"/>
        <v>20542.5</v>
      </c>
    </row>
    <row r="57" spans="1:9" x14ac:dyDescent="0.3">
      <c r="A57" s="30">
        <v>48</v>
      </c>
      <c r="B57" s="30"/>
      <c r="C57" s="33" t="s">
        <v>694</v>
      </c>
      <c r="D57" s="30" t="s">
        <v>88</v>
      </c>
      <c r="E57" s="30">
        <v>1</v>
      </c>
      <c r="F57" s="26"/>
      <c r="G57" s="30">
        <f t="shared" si="1"/>
        <v>1</v>
      </c>
      <c r="H57" s="29">
        <v>20542.5</v>
      </c>
      <c r="I57" s="28">
        <f t="shared" si="0"/>
        <v>20542.5</v>
      </c>
    </row>
    <row r="58" spans="1:9" x14ac:dyDescent="0.3">
      <c r="A58" s="30">
        <v>49</v>
      </c>
      <c r="B58" s="30"/>
      <c r="C58" s="33" t="s">
        <v>693</v>
      </c>
      <c r="D58" s="30" t="s">
        <v>88</v>
      </c>
      <c r="E58" s="30">
        <v>1</v>
      </c>
      <c r="F58" s="26"/>
      <c r="G58" s="30">
        <f t="shared" si="1"/>
        <v>1</v>
      </c>
      <c r="H58" s="29">
        <v>14025</v>
      </c>
      <c r="I58" s="28">
        <f t="shared" si="0"/>
        <v>14025</v>
      </c>
    </row>
    <row r="59" spans="1:9" x14ac:dyDescent="0.3">
      <c r="A59" s="30">
        <v>50</v>
      </c>
      <c r="B59" s="30"/>
      <c r="C59" s="33" t="s">
        <v>692</v>
      </c>
      <c r="D59" s="30" t="s">
        <v>88</v>
      </c>
      <c r="E59" s="30">
        <v>1</v>
      </c>
      <c r="F59" s="26"/>
      <c r="G59" s="30">
        <f t="shared" si="1"/>
        <v>1</v>
      </c>
      <c r="H59" s="29">
        <v>20542.5</v>
      </c>
      <c r="I59" s="28">
        <f t="shared" si="0"/>
        <v>20542.5</v>
      </c>
    </row>
    <row r="60" spans="1:9" x14ac:dyDescent="0.3">
      <c r="A60" s="30">
        <v>51</v>
      </c>
      <c r="B60" s="30"/>
      <c r="C60" s="33" t="s">
        <v>691</v>
      </c>
      <c r="D60" s="30" t="s">
        <v>88</v>
      </c>
      <c r="E60" s="30">
        <v>1</v>
      </c>
      <c r="F60" s="26"/>
      <c r="G60" s="30">
        <f t="shared" si="1"/>
        <v>1</v>
      </c>
      <c r="H60" s="29">
        <v>14025</v>
      </c>
      <c r="I60" s="28">
        <f t="shared" si="0"/>
        <v>14025</v>
      </c>
    </row>
    <row r="61" spans="1:9" x14ac:dyDescent="0.3">
      <c r="A61" s="30">
        <v>52</v>
      </c>
      <c r="B61" s="30"/>
      <c r="C61" s="33" t="s">
        <v>690</v>
      </c>
      <c r="D61" s="30" t="s">
        <v>88</v>
      </c>
      <c r="E61" s="30">
        <v>1</v>
      </c>
      <c r="F61" s="26"/>
      <c r="G61" s="30">
        <f t="shared" si="1"/>
        <v>1</v>
      </c>
      <c r="H61" s="29">
        <v>21120</v>
      </c>
      <c r="I61" s="28">
        <f t="shared" si="0"/>
        <v>21120</v>
      </c>
    </row>
    <row r="62" spans="1:9" x14ac:dyDescent="0.3">
      <c r="A62" s="30">
        <v>53</v>
      </c>
      <c r="B62" s="30"/>
      <c r="C62" s="33" t="s">
        <v>689</v>
      </c>
      <c r="D62" s="30" t="s">
        <v>88</v>
      </c>
      <c r="E62" s="30">
        <v>1</v>
      </c>
      <c r="F62" s="26"/>
      <c r="G62" s="30">
        <f t="shared" si="1"/>
        <v>1</v>
      </c>
      <c r="H62" s="29">
        <v>21120</v>
      </c>
      <c r="I62" s="28">
        <f t="shared" si="0"/>
        <v>21120</v>
      </c>
    </row>
    <row r="63" spans="1:9" x14ac:dyDescent="0.3">
      <c r="A63" s="30">
        <v>54</v>
      </c>
      <c r="B63" s="30"/>
      <c r="C63" s="33" t="s">
        <v>688</v>
      </c>
      <c r="D63" s="30" t="s">
        <v>88</v>
      </c>
      <c r="E63" s="30">
        <v>3</v>
      </c>
      <c r="F63" s="26"/>
      <c r="G63" s="30">
        <f t="shared" si="1"/>
        <v>3</v>
      </c>
      <c r="H63" s="29">
        <v>63360</v>
      </c>
      <c r="I63" s="28">
        <f t="shared" si="0"/>
        <v>190080</v>
      </c>
    </row>
    <row r="64" spans="1:9" x14ac:dyDescent="0.3">
      <c r="A64" s="30">
        <v>55</v>
      </c>
      <c r="B64" s="30"/>
      <c r="C64" s="33" t="s">
        <v>687</v>
      </c>
      <c r="D64" s="30" t="s">
        <v>88</v>
      </c>
      <c r="E64" s="30">
        <v>3</v>
      </c>
      <c r="F64" s="26"/>
      <c r="G64" s="30">
        <f t="shared" si="1"/>
        <v>3</v>
      </c>
      <c r="H64" s="29">
        <v>36936</v>
      </c>
      <c r="I64" s="28">
        <f t="shared" si="0"/>
        <v>110808</v>
      </c>
    </row>
    <row r="65" spans="1:9" x14ac:dyDescent="0.3">
      <c r="A65" s="30">
        <v>56</v>
      </c>
      <c r="B65" s="30"/>
      <c r="C65" s="33" t="s">
        <v>686</v>
      </c>
      <c r="D65" s="30" t="s">
        <v>88</v>
      </c>
      <c r="E65" s="30">
        <v>3</v>
      </c>
      <c r="F65" s="26"/>
      <c r="G65" s="30">
        <f t="shared" si="1"/>
        <v>3</v>
      </c>
      <c r="H65" s="29">
        <v>36936</v>
      </c>
      <c r="I65" s="28">
        <f t="shared" si="0"/>
        <v>110808</v>
      </c>
    </row>
    <row r="66" spans="1:9" x14ac:dyDescent="0.3">
      <c r="A66" s="30">
        <v>57</v>
      </c>
      <c r="B66" s="30"/>
      <c r="C66" s="33" t="s">
        <v>685</v>
      </c>
      <c r="D66" s="30" t="s">
        <v>88</v>
      </c>
      <c r="E66" s="30">
        <v>3</v>
      </c>
      <c r="F66" s="26"/>
      <c r="G66" s="30">
        <f t="shared" si="1"/>
        <v>3</v>
      </c>
      <c r="H66" s="29">
        <v>267316.5</v>
      </c>
      <c r="I66" s="28">
        <f t="shared" si="0"/>
        <v>801949.5</v>
      </c>
    </row>
    <row r="67" spans="1:9" x14ac:dyDescent="0.3">
      <c r="A67" s="30">
        <v>58</v>
      </c>
      <c r="B67" s="30"/>
      <c r="C67" s="33" t="s">
        <v>684</v>
      </c>
      <c r="D67" s="30" t="s">
        <v>88</v>
      </c>
      <c r="E67" s="30">
        <v>1</v>
      </c>
      <c r="F67" s="26"/>
      <c r="G67" s="30">
        <f t="shared" si="1"/>
        <v>1</v>
      </c>
      <c r="H67" s="29">
        <v>49000</v>
      </c>
      <c r="I67" s="28">
        <f t="shared" si="0"/>
        <v>49000</v>
      </c>
    </row>
    <row r="68" spans="1:9" x14ac:dyDescent="0.3">
      <c r="A68" s="30">
        <v>59</v>
      </c>
      <c r="B68" s="30"/>
      <c r="C68" s="33" t="s">
        <v>683</v>
      </c>
      <c r="D68" s="30" t="s">
        <v>88</v>
      </c>
      <c r="E68" s="30">
        <v>1</v>
      </c>
      <c r="F68" s="26"/>
      <c r="G68" s="30">
        <f t="shared" si="1"/>
        <v>1</v>
      </c>
      <c r="H68" s="29">
        <v>49000</v>
      </c>
      <c r="I68" s="28">
        <f t="shared" si="0"/>
        <v>49000</v>
      </c>
    </row>
    <row r="69" spans="1:9" x14ac:dyDescent="0.3">
      <c r="A69" s="30">
        <v>60</v>
      </c>
      <c r="B69" s="30"/>
      <c r="C69" s="33" t="s">
        <v>682</v>
      </c>
      <c r="D69" s="30" t="s">
        <v>88</v>
      </c>
      <c r="E69" s="30">
        <v>2</v>
      </c>
      <c r="F69" s="26"/>
      <c r="G69" s="30">
        <f t="shared" si="1"/>
        <v>2</v>
      </c>
      <c r="H69" s="29">
        <v>45030</v>
      </c>
      <c r="I69" s="28">
        <f t="shared" si="0"/>
        <v>90060</v>
      </c>
    </row>
    <row r="70" spans="1:9" x14ac:dyDescent="0.3">
      <c r="A70" s="30">
        <v>61</v>
      </c>
      <c r="B70" s="30"/>
      <c r="C70" s="33" t="s">
        <v>681</v>
      </c>
      <c r="D70" s="30" t="s">
        <v>88</v>
      </c>
      <c r="E70" s="30">
        <v>1</v>
      </c>
      <c r="F70" s="26"/>
      <c r="G70" s="30">
        <f t="shared" si="1"/>
        <v>1</v>
      </c>
      <c r="H70" s="29">
        <v>49000</v>
      </c>
      <c r="I70" s="28">
        <f t="shared" si="0"/>
        <v>49000</v>
      </c>
    </row>
    <row r="71" spans="1:9" x14ac:dyDescent="0.3">
      <c r="A71" s="30">
        <v>62</v>
      </c>
      <c r="B71" s="30"/>
      <c r="C71" s="33" t="s">
        <v>680</v>
      </c>
      <c r="D71" s="30" t="s">
        <v>88</v>
      </c>
      <c r="E71" s="30">
        <v>1</v>
      </c>
      <c r="F71" s="26"/>
      <c r="G71" s="30">
        <f t="shared" si="1"/>
        <v>1</v>
      </c>
      <c r="H71" s="29">
        <v>49000</v>
      </c>
      <c r="I71" s="28">
        <f t="shared" si="0"/>
        <v>49000</v>
      </c>
    </row>
    <row r="72" spans="1:9" x14ac:dyDescent="0.3">
      <c r="A72" s="30">
        <v>63</v>
      </c>
      <c r="B72" s="30"/>
      <c r="C72" s="33" t="s">
        <v>679</v>
      </c>
      <c r="D72" s="30" t="s">
        <v>88</v>
      </c>
      <c r="E72" s="30">
        <v>6</v>
      </c>
      <c r="F72" s="26"/>
      <c r="G72" s="30">
        <f t="shared" si="1"/>
        <v>6</v>
      </c>
      <c r="H72" s="29">
        <v>20999.16</v>
      </c>
      <c r="I72" s="28">
        <f t="shared" si="0"/>
        <v>125994.95999999999</v>
      </c>
    </row>
    <row r="73" spans="1:9" x14ac:dyDescent="0.3">
      <c r="A73" s="30">
        <v>64</v>
      </c>
      <c r="B73" s="30"/>
      <c r="C73" s="33" t="s">
        <v>678</v>
      </c>
      <c r="D73" s="30" t="s">
        <v>88</v>
      </c>
      <c r="E73" s="30">
        <v>2</v>
      </c>
      <c r="F73" s="26"/>
      <c r="G73" s="30">
        <f t="shared" si="1"/>
        <v>2</v>
      </c>
      <c r="H73" s="29">
        <v>41420</v>
      </c>
      <c r="I73" s="28">
        <f t="shared" si="0"/>
        <v>82840</v>
      </c>
    </row>
    <row r="74" spans="1:9" x14ac:dyDescent="0.3">
      <c r="A74" s="30">
        <v>65</v>
      </c>
      <c r="B74" s="30"/>
      <c r="C74" s="33" t="s">
        <v>677</v>
      </c>
      <c r="D74" s="30" t="s">
        <v>88</v>
      </c>
      <c r="E74" s="30">
        <v>2</v>
      </c>
      <c r="F74" s="26"/>
      <c r="G74" s="30">
        <f t="shared" si="1"/>
        <v>2</v>
      </c>
      <c r="H74" s="29">
        <v>60800</v>
      </c>
      <c r="I74" s="28">
        <f t="shared" ref="I74:I137" si="2">G74*H74</f>
        <v>121600</v>
      </c>
    </row>
    <row r="75" spans="1:9" x14ac:dyDescent="0.3">
      <c r="A75" s="30">
        <v>66</v>
      </c>
      <c r="B75" s="30"/>
      <c r="C75" s="33" t="s">
        <v>676</v>
      </c>
      <c r="D75" s="30" t="s">
        <v>88</v>
      </c>
      <c r="E75" s="30">
        <v>2</v>
      </c>
      <c r="F75" s="26"/>
      <c r="G75" s="30">
        <f t="shared" ref="G75:G138" si="3">E75-F75</f>
        <v>2</v>
      </c>
      <c r="H75" s="29">
        <v>68210</v>
      </c>
      <c r="I75" s="28">
        <f t="shared" si="2"/>
        <v>136420</v>
      </c>
    </row>
    <row r="76" spans="1:9" x14ac:dyDescent="0.3">
      <c r="A76" s="30">
        <v>67</v>
      </c>
      <c r="B76" s="30"/>
      <c r="C76" s="33" t="s">
        <v>675</v>
      </c>
      <c r="D76" s="30" t="s">
        <v>88</v>
      </c>
      <c r="E76" s="30">
        <v>2</v>
      </c>
      <c r="F76" s="26"/>
      <c r="G76" s="30">
        <f t="shared" si="3"/>
        <v>2</v>
      </c>
      <c r="H76" s="29">
        <v>64800</v>
      </c>
      <c r="I76" s="28">
        <f t="shared" si="2"/>
        <v>129600</v>
      </c>
    </row>
    <row r="77" spans="1:9" x14ac:dyDescent="0.3">
      <c r="A77" s="30">
        <v>68</v>
      </c>
      <c r="B77" s="30"/>
      <c r="C77" s="33" t="s">
        <v>674</v>
      </c>
      <c r="D77" s="30" t="s">
        <v>88</v>
      </c>
      <c r="E77" s="30">
        <v>2</v>
      </c>
      <c r="F77" s="26"/>
      <c r="G77" s="30">
        <f t="shared" si="3"/>
        <v>2</v>
      </c>
      <c r="H77" s="29">
        <v>42300</v>
      </c>
      <c r="I77" s="28">
        <f t="shared" si="2"/>
        <v>84600</v>
      </c>
    </row>
    <row r="78" spans="1:9" x14ac:dyDescent="0.3">
      <c r="A78" s="30">
        <v>69</v>
      </c>
      <c r="B78" s="30"/>
      <c r="C78" s="33" t="s">
        <v>673</v>
      </c>
      <c r="D78" s="30" t="s">
        <v>88</v>
      </c>
      <c r="E78" s="30">
        <v>2</v>
      </c>
      <c r="F78" s="26"/>
      <c r="G78" s="30">
        <f t="shared" si="3"/>
        <v>2</v>
      </c>
      <c r="H78" s="29">
        <v>42300</v>
      </c>
      <c r="I78" s="28">
        <f t="shared" si="2"/>
        <v>84600</v>
      </c>
    </row>
    <row r="79" spans="1:9" x14ac:dyDescent="0.3">
      <c r="A79" s="30">
        <v>70</v>
      </c>
      <c r="B79" s="30"/>
      <c r="C79" s="33" t="s">
        <v>672</v>
      </c>
      <c r="D79" s="30" t="s">
        <v>88</v>
      </c>
      <c r="E79" s="30">
        <v>2</v>
      </c>
      <c r="F79" s="26"/>
      <c r="G79" s="30">
        <f t="shared" si="3"/>
        <v>2</v>
      </c>
      <c r="H79" s="29">
        <v>42300</v>
      </c>
      <c r="I79" s="28">
        <f t="shared" si="2"/>
        <v>84600</v>
      </c>
    </row>
    <row r="80" spans="1:9" x14ac:dyDescent="0.3">
      <c r="A80" s="30">
        <v>71</v>
      </c>
      <c r="B80" s="30"/>
      <c r="C80" s="33" t="s">
        <v>671</v>
      </c>
      <c r="D80" s="30" t="s">
        <v>88</v>
      </c>
      <c r="E80" s="30">
        <v>2</v>
      </c>
      <c r="F80" s="26"/>
      <c r="G80" s="30">
        <f t="shared" si="3"/>
        <v>2</v>
      </c>
      <c r="H80" s="29">
        <v>38190</v>
      </c>
      <c r="I80" s="28">
        <f t="shared" si="2"/>
        <v>76380</v>
      </c>
    </row>
    <row r="81" spans="1:9" x14ac:dyDescent="0.3">
      <c r="A81" s="30">
        <v>72</v>
      </c>
      <c r="B81" s="30"/>
      <c r="C81" s="33" t="s">
        <v>670</v>
      </c>
      <c r="D81" s="30" t="s">
        <v>88</v>
      </c>
      <c r="E81" s="30">
        <v>1</v>
      </c>
      <c r="F81" s="26"/>
      <c r="G81" s="30">
        <f t="shared" si="3"/>
        <v>1</v>
      </c>
      <c r="H81" s="29">
        <v>145282.5</v>
      </c>
      <c r="I81" s="28">
        <f t="shared" si="2"/>
        <v>145282.5</v>
      </c>
    </row>
    <row r="82" spans="1:9" x14ac:dyDescent="0.3">
      <c r="A82" s="30">
        <v>73</v>
      </c>
      <c r="B82" s="30"/>
      <c r="C82" s="33" t="s">
        <v>669</v>
      </c>
      <c r="D82" s="30" t="s">
        <v>88</v>
      </c>
      <c r="E82" s="30">
        <v>3</v>
      </c>
      <c r="F82" s="26"/>
      <c r="G82" s="30">
        <f t="shared" si="3"/>
        <v>3</v>
      </c>
      <c r="H82" s="29">
        <v>41895</v>
      </c>
      <c r="I82" s="28">
        <f t="shared" si="2"/>
        <v>125685</v>
      </c>
    </row>
    <row r="83" spans="1:9" x14ac:dyDescent="0.3">
      <c r="A83" s="30">
        <v>74</v>
      </c>
      <c r="B83" s="30"/>
      <c r="C83" s="33" t="s">
        <v>668</v>
      </c>
      <c r="D83" s="30" t="s">
        <v>88</v>
      </c>
      <c r="E83" s="30">
        <v>3</v>
      </c>
      <c r="F83" s="26"/>
      <c r="G83" s="30">
        <f t="shared" si="3"/>
        <v>3</v>
      </c>
      <c r="H83" s="29">
        <v>48300</v>
      </c>
      <c r="I83" s="28">
        <f t="shared" si="2"/>
        <v>144900</v>
      </c>
    </row>
    <row r="84" spans="1:9" x14ac:dyDescent="0.3">
      <c r="A84" s="30">
        <v>75</v>
      </c>
      <c r="B84" s="30"/>
      <c r="C84" s="33" t="s">
        <v>667</v>
      </c>
      <c r="D84" s="30" t="s">
        <v>88</v>
      </c>
      <c r="E84" s="30">
        <v>2</v>
      </c>
      <c r="F84" s="26"/>
      <c r="G84" s="30">
        <f t="shared" si="3"/>
        <v>2</v>
      </c>
      <c r="H84" s="29">
        <v>40850</v>
      </c>
      <c r="I84" s="28">
        <f t="shared" si="2"/>
        <v>81700</v>
      </c>
    </row>
    <row r="85" spans="1:9" x14ac:dyDescent="0.3">
      <c r="A85" s="30">
        <v>76</v>
      </c>
      <c r="B85" s="30"/>
      <c r="C85" s="33" t="s">
        <v>666</v>
      </c>
      <c r="D85" s="30" t="s">
        <v>88</v>
      </c>
      <c r="E85" s="30">
        <v>2</v>
      </c>
      <c r="F85" s="26"/>
      <c r="G85" s="30">
        <f t="shared" si="3"/>
        <v>2</v>
      </c>
      <c r="H85" s="29">
        <v>51000</v>
      </c>
      <c r="I85" s="28">
        <f t="shared" si="2"/>
        <v>102000</v>
      </c>
    </row>
    <row r="86" spans="1:9" x14ac:dyDescent="0.3">
      <c r="A86" s="30">
        <v>77</v>
      </c>
      <c r="B86" s="30"/>
      <c r="C86" s="33" t="s">
        <v>665</v>
      </c>
      <c r="D86" s="30" t="s">
        <v>88</v>
      </c>
      <c r="E86" s="30">
        <v>1</v>
      </c>
      <c r="F86" s="26"/>
      <c r="G86" s="30">
        <f t="shared" si="3"/>
        <v>1</v>
      </c>
      <c r="H86" s="29">
        <v>23500</v>
      </c>
      <c r="I86" s="28">
        <f t="shared" si="2"/>
        <v>23500</v>
      </c>
    </row>
    <row r="87" spans="1:9" x14ac:dyDescent="0.3">
      <c r="A87" s="30">
        <v>78</v>
      </c>
      <c r="B87" s="30"/>
      <c r="C87" s="33" t="s">
        <v>664</v>
      </c>
      <c r="D87" s="30" t="s">
        <v>88</v>
      </c>
      <c r="E87" s="30">
        <v>3</v>
      </c>
      <c r="F87" s="26"/>
      <c r="G87" s="30">
        <f t="shared" si="3"/>
        <v>3</v>
      </c>
      <c r="H87" s="29">
        <v>89400</v>
      </c>
      <c r="I87" s="28">
        <f t="shared" si="2"/>
        <v>268200</v>
      </c>
    </row>
    <row r="88" spans="1:9" x14ac:dyDescent="0.3">
      <c r="A88" s="30">
        <v>79</v>
      </c>
      <c r="B88" s="30"/>
      <c r="C88" s="33" t="s">
        <v>341</v>
      </c>
      <c r="D88" s="30" t="s">
        <v>88</v>
      </c>
      <c r="E88" s="30">
        <v>2</v>
      </c>
      <c r="F88" s="26"/>
      <c r="G88" s="30">
        <f t="shared" si="3"/>
        <v>2</v>
      </c>
      <c r="H88" s="29">
        <v>59600</v>
      </c>
      <c r="I88" s="28">
        <f t="shared" si="2"/>
        <v>119200</v>
      </c>
    </row>
    <row r="89" spans="1:9" x14ac:dyDescent="0.3">
      <c r="A89" s="30">
        <v>80</v>
      </c>
      <c r="B89" s="30"/>
      <c r="C89" s="33" t="s">
        <v>663</v>
      </c>
      <c r="D89" s="30" t="s">
        <v>88</v>
      </c>
      <c r="E89" s="30">
        <v>4</v>
      </c>
      <c r="F89" s="26"/>
      <c r="G89" s="30">
        <f t="shared" si="3"/>
        <v>4</v>
      </c>
      <c r="H89" s="29">
        <v>119504</v>
      </c>
      <c r="I89" s="28">
        <f t="shared" si="2"/>
        <v>478016</v>
      </c>
    </row>
    <row r="90" spans="1:9" x14ac:dyDescent="0.3">
      <c r="A90" s="30">
        <v>81</v>
      </c>
      <c r="B90" s="30"/>
      <c r="C90" s="33" t="s">
        <v>662</v>
      </c>
      <c r="D90" s="30" t="s">
        <v>88</v>
      </c>
      <c r="E90" s="30">
        <v>8</v>
      </c>
      <c r="F90" s="26"/>
      <c r="G90" s="30">
        <f t="shared" si="3"/>
        <v>8</v>
      </c>
      <c r="H90" s="29">
        <v>97200</v>
      </c>
      <c r="I90" s="28">
        <f t="shared" si="2"/>
        <v>777600</v>
      </c>
    </row>
    <row r="91" spans="1:9" x14ac:dyDescent="0.3">
      <c r="A91" s="30">
        <v>82</v>
      </c>
      <c r="B91" s="30"/>
      <c r="C91" s="33" t="s">
        <v>661</v>
      </c>
      <c r="D91" s="30" t="s">
        <v>88</v>
      </c>
      <c r="E91" s="30">
        <v>2</v>
      </c>
      <c r="F91" s="26"/>
      <c r="G91" s="30">
        <f t="shared" si="3"/>
        <v>2</v>
      </c>
      <c r="H91" s="29">
        <v>28860</v>
      </c>
      <c r="I91" s="28">
        <f t="shared" si="2"/>
        <v>57720</v>
      </c>
    </row>
    <row r="92" spans="1:9" x14ac:dyDescent="0.3">
      <c r="A92" s="30">
        <v>83</v>
      </c>
      <c r="B92" s="30"/>
      <c r="C92" s="33" t="s">
        <v>660</v>
      </c>
      <c r="D92" s="30" t="s">
        <v>88</v>
      </c>
      <c r="E92" s="30">
        <v>2</v>
      </c>
      <c r="F92" s="26"/>
      <c r="G92" s="30">
        <f t="shared" si="3"/>
        <v>2</v>
      </c>
      <c r="H92" s="29">
        <v>28860</v>
      </c>
      <c r="I92" s="28">
        <f t="shared" si="2"/>
        <v>57720</v>
      </c>
    </row>
    <row r="93" spans="1:9" x14ac:dyDescent="0.3">
      <c r="A93" s="30">
        <v>84</v>
      </c>
      <c r="B93" s="30"/>
      <c r="C93" s="33" t="s">
        <v>659</v>
      </c>
      <c r="D93" s="30" t="s">
        <v>88</v>
      </c>
      <c r="E93" s="30">
        <v>2</v>
      </c>
      <c r="F93" s="26"/>
      <c r="G93" s="30">
        <f t="shared" si="3"/>
        <v>2</v>
      </c>
      <c r="H93" s="29">
        <v>28860</v>
      </c>
      <c r="I93" s="28">
        <f t="shared" si="2"/>
        <v>57720</v>
      </c>
    </row>
    <row r="94" spans="1:9" x14ac:dyDescent="0.3">
      <c r="A94" s="30">
        <v>85</v>
      </c>
      <c r="B94" s="30"/>
      <c r="C94" s="33" t="s">
        <v>658</v>
      </c>
      <c r="D94" s="30" t="s">
        <v>88</v>
      </c>
      <c r="E94" s="30">
        <v>2</v>
      </c>
      <c r="F94" s="26"/>
      <c r="G94" s="30">
        <f t="shared" si="3"/>
        <v>2</v>
      </c>
      <c r="H94" s="29">
        <v>28860</v>
      </c>
      <c r="I94" s="28">
        <f t="shared" si="2"/>
        <v>57720</v>
      </c>
    </row>
    <row r="95" spans="1:9" x14ac:dyDescent="0.3">
      <c r="A95" s="30">
        <v>86</v>
      </c>
      <c r="B95" s="30"/>
      <c r="C95" s="33" t="s">
        <v>657</v>
      </c>
      <c r="D95" s="30" t="s">
        <v>88</v>
      </c>
      <c r="E95" s="30">
        <v>1</v>
      </c>
      <c r="F95" s="26"/>
      <c r="G95" s="30">
        <f t="shared" si="3"/>
        <v>1</v>
      </c>
      <c r="H95" s="29">
        <v>39200</v>
      </c>
      <c r="I95" s="28">
        <f t="shared" si="2"/>
        <v>39200</v>
      </c>
    </row>
    <row r="96" spans="1:9" x14ac:dyDescent="0.3">
      <c r="A96" s="30">
        <v>87</v>
      </c>
      <c r="B96" s="30"/>
      <c r="C96" s="33" t="s">
        <v>656</v>
      </c>
      <c r="D96" s="30" t="s">
        <v>88</v>
      </c>
      <c r="E96" s="30">
        <v>3</v>
      </c>
      <c r="F96" s="26"/>
      <c r="G96" s="30">
        <f t="shared" si="3"/>
        <v>3</v>
      </c>
      <c r="H96" s="29">
        <v>117600</v>
      </c>
      <c r="I96" s="28">
        <f t="shared" si="2"/>
        <v>352800</v>
      </c>
    </row>
    <row r="97" spans="1:9" x14ac:dyDescent="0.3">
      <c r="A97" s="30">
        <v>88</v>
      </c>
      <c r="B97" s="30"/>
      <c r="C97" s="33" t="s">
        <v>655</v>
      </c>
      <c r="D97" s="30" t="s">
        <v>88</v>
      </c>
      <c r="E97" s="30">
        <v>2</v>
      </c>
      <c r="F97" s="26"/>
      <c r="G97" s="30">
        <f t="shared" si="3"/>
        <v>2</v>
      </c>
      <c r="H97" s="29">
        <v>78400</v>
      </c>
      <c r="I97" s="28">
        <f t="shared" si="2"/>
        <v>156800</v>
      </c>
    </row>
    <row r="98" spans="1:9" x14ac:dyDescent="0.3">
      <c r="A98" s="30">
        <v>89</v>
      </c>
      <c r="B98" s="30"/>
      <c r="C98" s="33" t="s">
        <v>654</v>
      </c>
      <c r="D98" s="30" t="s">
        <v>88</v>
      </c>
      <c r="E98" s="30">
        <v>1</v>
      </c>
      <c r="F98" s="26"/>
      <c r="G98" s="30">
        <f t="shared" si="3"/>
        <v>1</v>
      </c>
      <c r="H98" s="29">
        <v>2500.6999999999998</v>
      </c>
      <c r="I98" s="28">
        <f t="shared" si="2"/>
        <v>2500.6999999999998</v>
      </c>
    </row>
    <row r="99" spans="1:9" x14ac:dyDescent="0.3">
      <c r="A99" s="30">
        <v>90</v>
      </c>
      <c r="B99" s="30"/>
      <c r="C99" s="33" t="s">
        <v>653</v>
      </c>
      <c r="D99" s="30" t="s">
        <v>88</v>
      </c>
      <c r="E99" s="30">
        <v>2</v>
      </c>
      <c r="F99" s="26"/>
      <c r="G99" s="30">
        <f t="shared" si="3"/>
        <v>2</v>
      </c>
      <c r="H99" s="29">
        <v>5001.3999999999996</v>
      </c>
      <c r="I99" s="28">
        <f t="shared" si="2"/>
        <v>10002.799999999999</v>
      </c>
    </row>
    <row r="100" spans="1:9" x14ac:dyDescent="0.3">
      <c r="A100" s="30">
        <v>91</v>
      </c>
      <c r="B100" s="30"/>
      <c r="C100" s="33" t="s">
        <v>652</v>
      </c>
      <c r="D100" s="30" t="s">
        <v>88</v>
      </c>
      <c r="E100" s="30">
        <v>2</v>
      </c>
      <c r="F100" s="26"/>
      <c r="G100" s="30">
        <f t="shared" si="3"/>
        <v>2</v>
      </c>
      <c r="H100" s="29">
        <v>5001.3999999999996</v>
      </c>
      <c r="I100" s="28">
        <f t="shared" si="2"/>
        <v>10002.799999999999</v>
      </c>
    </row>
    <row r="101" spans="1:9" x14ac:dyDescent="0.3">
      <c r="A101" s="30">
        <v>92</v>
      </c>
      <c r="B101" s="30"/>
      <c r="C101" s="33" t="s">
        <v>651</v>
      </c>
      <c r="D101" s="30" t="s">
        <v>88</v>
      </c>
      <c r="E101" s="30">
        <v>2</v>
      </c>
      <c r="F101" s="26"/>
      <c r="G101" s="30">
        <f t="shared" si="3"/>
        <v>2</v>
      </c>
      <c r="H101" s="29">
        <v>6999.72</v>
      </c>
      <c r="I101" s="28">
        <f t="shared" si="2"/>
        <v>13999.44</v>
      </c>
    </row>
    <row r="102" spans="1:9" x14ac:dyDescent="0.3">
      <c r="A102" s="30">
        <v>93</v>
      </c>
      <c r="B102" s="30"/>
      <c r="C102" s="33" t="s">
        <v>650</v>
      </c>
      <c r="D102" s="30" t="s">
        <v>88</v>
      </c>
      <c r="E102" s="30">
        <v>2</v>
      </c>
      <c r="F102" s="26"/>
      <c r="G102" s="30">
        <f t="shared" si="3"/>
        <v>2</v>
      </c>
      <c r="H102" s="29">
        <v>6999.72</v>
      </c>
      <c r="I102" s="28">
        <f t="shared" si="2"/>
        <v>13999.44</v>
      </c>
    </row>
    <row r="103" spans="1:9" x14ac:dyDescent="0.3">
      <c r="A103" s="30">
        <v>94</v>
      </c>
      <c r="B103" s="30"/>
      <c r="C103" s="33" t="s">
        <v>649</v>
      </c>
      <c r="D103" s="30" t="s">
        <v>88</v>
      </c>
      <c r="E103" s="30">
        <v>3</v>
      </c>
      <c r="F103" s="26"/>
      <c r="G103" s="30">
        <f t="shared" si="3"/>
        <v>3</v>
      </c>
      <c r="H103" s="29">
        <v>7502.1</v>
      </c>
      <c r="I103" s="28">
        <f t="shared" si="2"/>
        <v>22506.300000000003</v>
      </c>
    </row>
    <row r="104" spans="1:9" x14ac:dyDescent="0.3">
      <c r="A104" s="30">
        <v>95</v>
      </c>
      <c r="B104" s="30"/>
      <c r="C104" s="33" t="s">
        <v>648</v>
      </c>
      <c r="D104" s="30" t="s">
        <v>88</v>
      </c>
      <c r="E104" s="30">
        <v>3</v>
      </c>
      <c r="F104" s="26"/>
      <c r="G104" s="30">
        <f t="shared" si="3"/>
        <v>3</v>
      </c>
      <c r="H104" s="29">
        <v>7502.1</v>
      </c>
      <c r="I104" s="28">
        <f t="shared" si="2"/>
        <v>22506.300000000003</v>
      </c>
    </row>
    <row r="105" spans="1:9" x14ac:dyDescent="0.3">
      <c r="A105" s="30">
        <v>96</v>
      </c>
      <c r="B105" s="30"/>
      <c r="C105" s="33" t="s">
        <v>647</v>
      </c>
      <c r="D105" s="30" t="s">
        <v>88</v>
      </c>
      <c r="E105" s="30">
        <v>6</v>
      </c>
      <c r="F105" s="26"/>
      <c r="G105" s="30">
        <f t="shared" si="3"/>
        <v>6</v>
      </c>
      <c r="H105" s="29">
        <v>27600</v>
      </c>
      <c r="I105" s="28">
        <f t="shared" si="2"/>
        <v>165600</v>
      </c>
    </row>
    <row r="106" spans="1:9" x14ac:dyDescent="0.3">
      <c r="A106" s="30">
        <v>97</v>
      </c>
      <c r="B106" s="30"/>
      <c r="C106" s="33" t="s">
        <v>646</v>
      </c>
      <c r="D106" s="30" t="s">
        <v>88</v>
      </c>
      <c r="E106" s="30">
        <v>6</v>
      </c>
      <c r="F106" s="26"/>
      <c r="G106" s="30">
        <f t="shared" si="3"/>
        <v>6</v>
      </c>
      <c r="H106" s="29">
        <v>31800</v>
      </c>
      <c r="I106" s="28">
        <f t="shared" si="2"/>
        <v>190800</v>
      </c>
    </row>
    <row r="107" spans="1:9" x14ac:dyDescent="0.3">
      <c r="A107" s="30">
        <v>98</v>
      </c>
      <c r="B107" s="30"/>
      <c r="C107" s="33" t="s">
        <v>645</v>
      </c>
      <c r="D107" s="30" t="s">
        <v>88</v>
      </c>
      <c r="E107" s="30">
        <v>2</v>
      </c>
      <c r="F107" s="26"/>
      <c r="G107" s="30">
        <f t="shared" si="3"/>
        <v>2</v>
      </c>
      <c r="H107" s="29">
        <v>10600</v>
      </c>
      <c r="I107" s="28">
        <f t="shared" si="2"/>
        <v>21200</v>
      </c>
    </row>
    <row r="108" spans="1:9" x14ac:dyDescent="0.3">
      <c r="A108" s="30">
        <v>99</v>
      </c>
      <c r="B108" s="30"/>
      <c r="C108" s="33" t="s">
        <v>644</v>
      </c>
      <c r="D108" s="30" t="s">
        <v>88</v>
      </c>
      <c r="E108" s="30">
        <v>4</v>
      </c>
      <c r="F108" s="26"/>
      <c r="G108" s="30">
        <f t="shared" si="3"/>
        <v>4</v>
      </c>
      <c r="H108" s="29">
        <v>23600</v>
      </c>
      <c r="I108" s="28">
        <f t="shared" si="2"/>
        <v>94400</v>
      </c>
    </row>
    <row r="109" spans="1:9" x14ac:dyDescent="0.3">
      <c r="A109" s="30">
        <v>100</v>
      </c>
      <c r="B109" s="30"/>
      <c r="C109" s="33" t="s">
        <v>643</v>
      </c>
      <c r="D109" s="30" t="s">
        <v>88</v>
      </c>
      <c r="E109" s="30">
        <v>8</v>
      </c>
      <c r="F109" s="26"/>
      <c r="G109" s="30">
        <f t="shared" si="3"/>
        <v>8</v>
      </c>
      <c r="H109" s="29">
        <v>42400</v>
      </c>
      <c r="I109" s="28">
        <f t="shared" si="2"/>
        <v>339200</v>
      </c>
    </row>
    <row r="110" spans="1:9" x14ac:dyDescent="0.3">
      <c r="A110" s="30">
        <v>101</v>
      </c>
      <c r="B110" s="30"/>
      <c r="C110" s="33" t="s">
        <v>642</v>
      </c>
      <c r="D110" s="30" t="s">
        <v>88</v>
      </c>
      <c r="E110" s="30">
        <v>6</v>
      </c>
      <c r="F110" s="26"/>
      <c r="G110" s="30">
        <f t="shared" si="3"/>
        <v>6</v>
      </c>
      <c r="H110" s="29">
        <v>35400</v>
      </c>
      <c r="I110" s="28">
        <f t="shared" si="2"/>
        <v>212400</v>
      </c>
    </row>
    <row r="111" spans="1:9" x14ac:dyDescent="0.3">
      <c r="A111" s="30">
        <v>102</v>
      </c>
      <c r="B111" s="30"/>
      <c r="C111" s="33" t="s">
        <v>641</v>
      </c>
      <c r="D111" s="30" t="s">
        <v>88</v>
      </c>
      <c r="E111" s="30">
        <v>6</v>
      </c>
      <c r="F111" s="26"/>
      <c r="G111" s="30">
        <f t="shared" si="3"/>
        <v>6</v>
      </c>
      <c r="H111" s="29">
        <v>33600</v>
      </c>
      <c r="I111" s="28">
        <f t="shared" si="2"/>
        <v>201600</v>
      </c>
    </row>
    <row r="112" spans="1:9" x14ac:dyDescent="0.3">
      <c r="A112" s="30">
        <v>103</v>
      </c>
      <c r="B112" s="30"/>
      <c r="C112" s="33" t="s">
        <v>640</v>
      </c>
      <c r="D112" s="30" t="s">
        <v>88</v>
      </c>
      <c r="E112" s="30">
        <v>6</v>
      </c>
      <c r="F112" s="26"/>
      <c r="G112" s="30">
        <f t="shared" si="3"/>
        <v>6</v>
      </c>
      <c r="H112" s="29">
        <v>29400</v>
      </c>
      <c r="I112" s="28">
        <f t="shared" si="2"/>
        <v>176400</v>
      </c>
    </row>
    <row r="113" spans="1:9" x14ac:dyDescent="0.3">
      <c r="A113" s="30">
        <v>104</v>
      </c>
      <c r="B113" s="30"/>
      <c r="C113" s="33" t="s">
        <v>639</v>
      </c>
      <c r="D113" s="30" t="s">
        <v>88</v>
      </c>
      <c r="E113" s="30">
        <v>6</v>
      </c>
      <c r="F113" s="26"/>
      <c r="G113" s="30">
        <f t="shared" si="3"/>
        <v>6</v>
      </c>
      <c r="H113" s="29">
        <v>29400</v>
      </c>
      <c r="I113" s="28">
        <f t="shared" si="2"/>
        <v>176400</v>
      </c>
    </row>
    <row r="114" spans="1:9" x14ac:dyDescent="0.3">
      <c r="A114" s="30">
        <v>105</v>
      </c>
      <c r="B114" s="30"/>
      <c r="C114" s="33" t="s">
        <v>638</v>
      </c>
      <c r="D114" s="30" t="s">
        <v>88</v>
      </c>
      <c r="E114" s="30">
        <v>2</v>
      </c>
      <c r="F114" s="26"/>
      <c r="G114" s="30">
        <f t="shared" si="3"/>
        <v>2</v>
      </c>
      <c r="H114" s="29">
        <v>11200</v>
      </c>
      <c r="I114" s="28">
        <f t="shared" si="2"/>
        <v>22400</v>
      </c>
    </row>
    <row r="115" spans="1:9" x14ac:dyDescent="0.3">
      <c r="A115" s="30">
        <v>106</v>
      </c>
      <c r="B115" s="30"/>
      <c r="C115" s="33" t="s">
        <v>637</v>
      </c>
      <c r="D115" s="30" t="s">
        <v>88</v>
      </c>
      <c r="E115" s="30">
        <v>4</v>
      </c>
      <c r="F115" s="26"/>
      <c r="G115" s="30">
        <f t="shared" si="3"/>
        <v>4</v>
      </c>
      <c r="H115" s="29">
        <v>22400</v>
      </c>
      <c r="I115" s="28">
        <f t="shared" si="2"/>
        <v>89600</v>
      </c>
    </row>
    <row r="116" spans="1:9" x14ac:dyDescent="0.3">
      <c r="A116" s="30">
        <v>107</v>
      </c>
      <c r="B116" s="30"/>
      <c r="C116" s="33" t="s">
        <v>636</v>
      </c>
      <c r="D116" s="30" t="s">
        <v>88</v>
      </c>
      <c r="E116" s="30">
        <v>2</v>
      </c>
      <c r="F116" s="26"/>
      <c r="G116" s="30">
        <f t="shared" si="3"/>
        <v>2</v>
      </c>
      <c r="H116" s="29">
        <v>9800</v>
      </c>
      <c r="I116" s="28">
        <f t="shared" si="2"/>
        <v>19600</v>
      </c>
    </row>
    <row r="117" spans="1:9" x14ac:dyDescent="0.3">
      <c r="A117" s="30">
        <v>108</v>
      </c>
      <c r="B117" s="30"/>
      <c r="C117" s="33" t="s">
        <v>635</v>
      </c>
      <c r="D117" s="30" t="s">
        <v>88</v>
      </c>
      <c r="E117" s="30">
        <v>2</v>
      </c>
      <c r="F117" s="26"/>
      <c r="G117" s="30">
        <f t="shared" si="3"/>
        <v>2</v>
      </c>
      <c r="H117" s="29">
        <v>11800</v>
      </c>
      <c r="I117" s="28">
        <f t="shared" si="2"/>
        <v>23600</v>
      </c>
    </row>
    <row r="118" spans="1:9" x14ac:dyDescent="0.3">
      <c r="A118" s="30">
        <v>109</v>
      </c>
      <c r="B118" s="30"/>
      <c r="C118" s="33" t="s">
        <v>634</v>
      </c>
      <c r="D118" s="30" t="s">
        <v>88</v>
      </c>
      <c r="E118" s="30">
        <v>4</v>
      </c>
      <c r="F118" s="26"/>
      <c r="G118" s="30">
        <f t="shared" si="3"/>
        <v>4</v>
      </c>
      <c r="H118" s="29">
        <v>102600</v>
      </c>
      <c r="I118" s="28">
        <f t="shared" si="2"/>
        <v>410400</v>
      </c>
    </row>
    <row r="119" spans="1:9" x14ac:dyDescent="0.3">
      <c r="A119" s="30">
        <v>110</v>
      </c>
      <c r="B119" s="30"/>
      <c r="C119" s="33" t="s">
        <v>633</v>
      </c>
      <c r="D119" s="30" t="s">
        <v>88</v>
      </c>
      <c r="E119" s="30">
        <v>4</v>
      </c>
      <c r="F119" s="26"/>
      <c r="G119" s="30">
        <f t="shared" si="3"/>
        <v>4</v>
      </c>
      <c r="H119" s="29">
        <v>93100</v>
      </c>
      <c r="I119" s="28">
        <f t="shared" si="2"/>
        <v>372400</v>
      </c>
    </row>
    <row r="120" spans="1:9" x14ac:dyDescent="0.3">
      <c r="A120" s="30">
        <v>111</v>
      </c>
      <c r="B120" s="30"/>
      <c r="C120" s="33" t="s">
        <v>632</v>
      </c>
      <c r="D120" s="30" t="s">
        <v>88</v>
      </c>
      <c r="E120" s="30">
        <v>4</v>
      </c>
      <c r="F120" s="26"/>
      <c r="G120" s="30">
        <f t="shared" si="3"/>
        <v>4</v>
      </c>
      <c r="H120" s="29">
        <v>68400</v>
      </c>
      <c r="I120" s="28">
        <f t="shared" si="2"/>
        <v>273600</v>
      </c>
    </row>
    <row r="121" spans="1:9" x14ac:dyDescent="0.3">
      <c r="A121" s="30">
        <v>112</v>
      </c>
      <c r="B121" s="30"/>
      <c r="C121" s="33" t="s">
        <v>631</v>
      </c>
      <c r="D121" s="30" t="s">
        <v>88</v>
      </c>
      <c r="E121" s="30">
        <v>4</v>
      </c>
      <c r="F121" s="26"/>
      <c r="G121" s="30">
        <f t="shared" si="3"/>
        <v>4</v>
      </c>
      <c r="H121" s="29">
        <v>100700</v>
      </c>
      <c r="I121" s="28">
        <f t="shared" si="2"/>
        <v>402800</v>
      </c>
    </row>
    <row r="122" spans="1:9" x14ac:dyDescent="0.3">
      <c r="A122" s="30">
        <v>113</v>
      </c>
      <c r="B122" s="30"/>
      <c r="C122" s="33" t="s">
        <v>630</v>
      </c>
      <c r="D122" s="30" t="s">
        <v>88</v>
      </c>
      <c r="E122" s="30">
        <v>2</v>
      </c>
      <c r="F122" s="26"/>
      <c r="G122" s="30">
        <f t="shared" si="3"/>
        <v>2</v>
      </c>
      <c r="H122" s="29">
        <v>50350</v>
      </c>
      <c r="I122" s="28">
        <f t="shared" si="2"/>
        <v>100700</v>
      </c>
    </row>
    <row r="123" spans="1:9" x14ac:dyDescent="0.3">
      <c r="A123" s="30">
        <v>114</v>
      </c>
      <c r="B123" s="30"/>
      <c r="C123" s="33" t="s">
        <v>629</v>
      </c>
      <c r="D123" s="30" t="s">
        <v>88</v>
      </c>
      <c r="E123" s="30">
        <v>2</v>
      </c>
      <c r="F123" s="26"/>
      <c r="G123" s="30">
        <f t="shared" si="3"/>
        <v>2</v>
      </c>
      <c r="H123" s="29">
        <v>47500</v>
      </c>
      <c r="I123" s="28">
        <f t="shared" si="2"/>
        <v>95000</v>
      </c>
    </row>
    <row r="124" spans="1:9" x14ac:dyDescent="0.3">
      <c r="A124" s="30">
        <v>115</v>
      </c>
      <c r="B124" s="30"/>
      <c r="C124" s="33" t="s">
        <v>628</v>
      </c>
      <c r="D124" s="30" t="s">
        <v>88</v>
      </c>
      <c r="E124" s="30">
        <v>2</v>
      </c>
      <c r="F124" s="26"/>
      <c r="G124" s="30">
        <f t="shared" si="3"/>
        <v>2</v>
      </c>
      <c r="H124" s="29">
        <v>52820</v>
      </c>
      <c r="I124" s="28">
        <f t="shared" si="2"/>
        <v>105640</v>
      </c>
    </row>
    <row r="125" spans="1:9" x14ac:dyDescent="0.3">
      <c r="A125" s="30">
        <v>116</v>
      </c>
      <c r="B125" s="30"/>
      <c r="C125" s="33" t="s">
        <v>627</v>
      </c>
      <c r="D125" s="30" t="s">
        <v>88</v>
      </c>
      <c r="E125" s="30">
        <v>2</v>
      </c>
      <c r="F125" s="26"/>
      <c r="G125" s="30">
        <f t="shared" si="3"/>
        <v>2</v>
      </c>
      <c r="H125" s="29">
        <v>51300</v>
      </c>
      <c r="I125" s="28">
        <f t="shared" si="2"/>
        <v>102600</v>
      </c>
    </row>
    <row r="126" spans="1:9" x14ac:dyDescent="0.3">
      <c r="A126" s="30">
        <v>117</v>
      </c>
      <c r="B126" s="30"/>
      <c r="C126" s="33" t="s">
        <v>626</v>
      </c>
      <c r="D126" s="30" t="s">
        <v>88</v>
      </c>
      <c r="E126" s="30">
        <v>2</v>
      </c>
      <c r="F126" s="26"/>
      <c r="G126" s="30">
        <f t="shared" si="3"/>
        <v>2</v>
      </c>
      <c r="H126" s="29">
        <v>67704</v>
      </c>
      <c r="I126" s="28">
        <f t="shared" si="2"/>
        <v>135408</v>
      </c>
    </row>
    <row r="127" spans="1:9" ht="28.8" x14ac:dyDescent="0.3">
      <c r="A127" s="30">
        <v>118</v>
      </c>
      <c r="B127" s="30"/>
      <c r="C127" s="33" t="s">
        <v>625</v>
      </c>
      <c r="D127" s="30" t="s">
        <v>88</v>
      </c>
      <c r="E127" s="30">
        <v>2</v>
      </c>
      <c r="F127" s="26"/>
      <c r="G127" s="30">
        <f t="shared" si="3"/>
        <v>2</v>
      </c>
      <c r="H127" s="29">
        <v>78640</v>
      </c>
      <c r="I127" s="28">
        <f t="shared" si="2"/>
        <v>157280</v>
      </c>
    </row>
    <row r="128" spans="1:9" ht="28.8" x14ac:dyDescent="0.3">
      <c r="A128" s="30">
        <v>119</v>
      </c>
      <c r="B128" s="30"/>
      <c r="C128" s="33" t="s">
        <v>624</v>
      </c>
      <c r="D128" s="30" t="s">
        <v>88</v>
      </c>
      <c r="E128" s="30">
        <v>2</v>
      </c>
      <c r="F128" s="26"/>
      <c r="G128" s="30">
        <f t="shared" si="3"/>
        <v>2</v>
      </c>
      <c r="H128" s="29">
        <v>78640</v>
      </c>
      <c r="I128" s="28">
        <f t="shared" si="2"/>
        <v>157280</v>
      </c>
    </row>
    <row r="129" spans="1:9" x14ac:dyDescent="0.3">
      <c r="A129" s="30">
        <v>120</v>
      </c>
      <c r="B129" s="30"/>
      <c r="C129" s="33" t="s">
        <v>623</v>
      </c>
      <c r="D129" s="30" t="s">
        <v>88</v>
      </c>
      <c r="E129" s="30">
        <v>2</v>
      </c>
      <c r="F129" s="26"/>
      <c r="G129" s="30">
        <f t="shared" si="3"/>
        <v>2</v>
      </c>
      <c r="H129" s="29">
        <v>37920</v>
      </c>
      <c r="I129" s="28">
        <f t="shared" si="2"/>
        <v>75840</v>
      </c>
    </row>
    <row r="130" spans="1:9" x14ac:dyDescent="0.3">
      <c r="A130" s="30">
        <v>121</v>
      </c>
      <c r="B130" s="30"/>
      <c r="C130" s="33" t="s">
        <v>622</v>
      </c>
      <c r="D130" s="30" t="s">
        <v>88</v>
      </c>
      <c r="E130" s="30">
        <v>2</v>
      </c>
      <c r="F130" s="26"/>
      <c r="G130" s="30">
        <f t="shared" si="3"/>
        <v>2</v>
      </c>
      <c r="H130" s="29">
        <v>57960</v>
      </c>
      <c r="I130" s="28">
        <f t="shared" si="2"/>
        <v>115920</v>
      </c>
    </row>
    <row r="131" spans="1:9" x14ac:dyDescent="0.3">
      <c r="A131" s="30">
        <v>122</v>
      </c>
      <c r="B131" s="30"/>
      <c r="C131" s="33" t="s">
        <v>621</v>
      </c>
      <c r="D131" s="30" t="s">
        <v>88</v>
      </c>
      <c r="E131" s="30">
        <v>2</v>
      </c>
      <c r="F131" s="26"/>
      <c r="G131" s="30">
        <f t="shared" si="3"/>
        <v>2</v>
      </c>
      <c r="H131" s="29">
        <v>64080</v>
      </c>
      <c r="I131" s="28">
        <f t="shared" si="2"/>
        <v>128160</v>
      </c>
    </row>
    <row r="132" spans="1:9" x14ac:dyDescent="0.3">
      <c r="A132" s="30">
        <v>123</v>
      </c>
      <c r="B132" s="30"/>
      <c r="C132" s="33" t="s">
        <v>620</v>
      </c>
      <c r="D132" s="30" t="s">
        <v>88</v>
      </c>
      <c r="E132" s="30">
        <v>2</v>
      </c>
      <c r="F132" s="26"/>
      <c r="G132" s="30">
        <f t="shared" si="3"/>
        <v>2</v>
      </c>
      <c r="H132" s="29">
        <v>59040</v>
      </c>
      <c r="I132" s="28">
        <f t="shared" si="2"/>
        <v>118080</v>
      </c>
    </row>
    <row r="133" spans="1:9" x14ac:dyDescent="0.3">
      <c r="A133" s="30">
        <v>124</v>
      </c>
      <c r="B133" s="30"/>
      <c r="C133" s="33" t="s">
        <v>619</v>
      </c>
      <c r="D133" s="30" t="s">
        <v>88</v>
      </c>
      <c r="E133" s="30">
        <v>2</v>
      </c>
      <c r="F133" s="26"/>
      <c r="G133" s="30">
        <f t="shared" si="3"/>
        <v>2</v>
      </c>
      <c r="H133" s="29">
        <v>98000</v>
      </c>
      <c r="I133" s="28">
        <f t="shared" si="2"/>
        <v>196000</v>
      </c>
    </row>
    <row r="134" spans="1:9" x14ac:dyDescent="0.3">
      <c r="A134" s="30">
        <v>125</v>
      </c>
      <c r="B134" s="30"/>
      <c r="C134" s="33" t="s">
        <v>618</v>
      </c>
      <c r="D134" s="30" t="s">
        <v>88</v>
      </c>
      <c r="E134" s="30">
        <v>2</v>
      </c>
      <c r="F134" s="26"/>
      <c r="G134" s="30">
        <f t="shared" si="3"/>
        <v>2</v>
      </c>
      <c r="H134" s="29">
        <v>98000</v>
      </c>
      <c r="I134" s="28">
        <f t="shared" si="2"/>
        <v>196000</v>
      </c>
    </row>
    <row r="135" spans="1:9" x14ac:dyDescent="0.3">
      <c r="A135" s="30">
        <v>126</v>
      </c>
      <c r="B135" s="30"/>
      <c r="C135" s="33" t="s">
        <v>617</v>
      </c>
      <c r="D135" s="30" t="s">
        <v>88</v>
      </c>
      <c r="E135" s="30">
        <v>2</v>
      </c>
      <c r="F135" s="26"/>
      <c r="G135" s="30">
        <f t="shared" si="3"/>
        <v>2</v>
      </c>
      <c r="H135" s="29">
        <v>67704</v>
      </c>
      <c r="I135" s="28">
        <f t="shared" si="2"/>
        <v>135408</v>
      </c>
    </row>
    <row r="136" spans="1:9" x14ac:dyDescent="0.3">
      <c r="A136" s="30">
        <v>127</v>
      </c>
      <c r="B136" s="30"/>
      <c r="C136" s="33" t="s">
        <v>616</v>
      </c>
      <c r="D136" s="30" t="s">
        <v>88</v>
      </c>
      <c r="E136" s="30">
        <v>2</v>
      </c>
      <c r="F136" s="26"/>
      <c r="G136" s="30">
        <f t="shared" si="3"/>
        <v>2</v>
      </c>
      <c r="H136" s="29">
        <v>98000</v>
      </c>
      <c r="I136" s="28">
        <f t="shared" si="2"/>
        <v>196000</v>
      </c>
    </row>
    <row r="137" spans="1:9" x14ac:dyDescent="0.3">
      <c r="A137" s="30">
        <v>128</v>
      </c>
      <c r="B137" s="30"/>
      <c r="C137" s="33" t="s">
        <v>615</v>
      </c>
      <c r="D137" s="30" t="s">
        <v>88</v>
      </c>
      <c r="E137" s="30">
        <v>1</v>
      </c>
      <c r="F137" s="26"/>
      <c r="G137" s="30">
        <f t="shared" si="3"/>
        <v>1</v>
      </c>
      <c r="H137" s="29">
        <v>11500</v>
      </c>
      <c r="I137" s="28">
        <f t="shared" si="2"/>
        <v>11500</v>
      </c>
    </row>
    <row r="138" spans="1:9" x14ac:dyDescent="0.3">
      <c r="A138" s="30">
        <v>129</v>
      </c>
      <c r="B138" s="30"/>
      <c r="C138" s="33" t="s">
        <v>614</v>
      </c>
      <c r="D138" s="30" t="s">
        <v>88</v>
      </c>
      <c r="E138" s="30">
        <v>1</v>
      </c>
      <c r="F138" s="26"/>
      <c r="G138" s="30">
        <f t="shared" si="3"/>
        <v>1</v>
      </c>
      <c r="H138" s="29">
        <v>11500</v>
      </c>
      <c r="I138" s="28">
        <f t="shared" ref="I138:I201" si="4">G138*H138</f>
        <v>11500</v>
      </c>
    </row>
    <row r="139" spans="1:9" x14ac:dyDescent="0.3">
      <c r="A139" s="30">
        <v>130</v>
      </c>
      <c r="B139" s="30"/>
      <c r="C139" s="33" t="s">
        <v>613</v>
      </c>
      <c r="D139" s="30" t="s">
        <v>88</v>
      </c>
      <c r="E139" s="30">
        <v>1</v>
      </c>
      <c r="F139" s="26"/>
      <c r="G139" s="30">
        <f t="shared" ref="G139:G202" si="5">E139-F139</f>
        <v>1</v>
      </c>
      <c r="H139" s="29">
        <v>11500</v>
      </c>
      <c r="I139" s="28">
        <f t="shared" si="4"/>
        <v>11500</v>
      </c>
    </row>
    <row r="140" spans="1:9" x14ac:dyDescent="0.3">
      <c r="A140" s="30">
        <v>131</v>
      </c>
      <c r="B140" s="30"/>
      <c r="C140" s="33" t="s">
        <v>612</v>
      </c>
      <c r="D140" s="30" t="s">
        <v>88</v>
      </c>
      <c r="E140" s="30">
        <v>3</v>
      </c>
      <c r="F140" s="26"/>
      <c r="G140" s="30">
        <f t="shared" si="5"/>
        <v>3</v>
      </c>
      <c r="H140" s="29">
        <v>147000</v>
      </c>
      <c r="I140" s="28">
        <f t="shared" si="4"/>
        <v>441000</v>
      </c>
    </row>
    <row r="141" spans="1:9" x14ac:dyDescent="0.3">
      <c r="A141" s="30">
        <v>132</v>
      </c>
      <c r="B141" s="30"/>
      <c r="C141" s="33" t="s">
        <v>611</v>
      </c>
      <c r="D141" s="30" t="s">
        <v>88</v>
      </c>
      <c r="E141" s="30">
        <v>3</v>
      </c>
      <c r="F141" s="26"/>
      <c r="G141" s="30">
        <f t="shared" si="5"/>
        <v>3</v>
      </c>
      <c r="H141" s="29">
        <v>147000</v>
      </c>
      <c r="I141" s="28">
        <f t="shared" si="4"/>
        <v>441000</v>
      </c>
    </row>
    <row r="142" spans="1:9" x14ac:dyDescent="0.3">
      <c r="A142" s="30">
        <v>133</v>
      </c>
      <c r="B142" s="30"/>
      <c r="C142" s="33" t="s">
        <v>610</v>
      </c>
      <c r="D142" s="30" t="s">
        <v>88</v>
      </c>
      <c r="E142" s="30">
        <v>3</v>
      </c>
      <c r="F142" s="26"/>
      <c r="G142" s="30">
        <f t="shared" si="5"/>
        <v>3</v>
      </c>
      <c r="H142" s="29">
        <v>147000</v>
      </c>
      <c r="I142" s="28">
        <f t="shared" si="4"/>
        <v>441000</v>
      </c>
    </row>
    <row r="143" spans="1:9" x14ac:dyDescent="0.3">
      <c r="A143" s="30">
        <v>134</v>
      </c>
      <c r="B143" s="30"/>
      <c r="C143" s="33" t="s">
        <v>609</v>
      </c>
      <c r="D143" s="30" t="s">
        <v>88</v>
      </c>
      <c r="E143" s="30">
        <v>1</v>
      </c>
      <c r="F143" s="26"/>
      <c r="G143" s="30">
        <f t="shared" si="5"/>
        <v>1</v>
      </c>
      <c r="H143" s="29">
        <v>49000</v>
      </c>
      <c r="I143" s="28">
        <f t="shared" si="4"/>
        <v>49000</v>
      </c>
    </row>
    <row r="144" spans="1:9" x14ac:dyDescent="0.3">
      <c r="A144" s="30">
        <v>135</v>
      </c>
      <c r="B144" s="30"/>
      <c r="C144" s="33" t="s">
        <v>608</v>
      </c>
      <c r="D144" s="30" t="s">
        <v>88</v>
      </c>
      <c r="E144" s="30">
        <v>1</v>
      </c>
      <c r="F144" s="26"/>
      <c r="G144" s="30">
        <f t="shared" si="5"/>
        <v>1</v>
      </c>
      <c r="H144" s="29">
        <v>49000</v>
      </c>
      <c r="I144" s="28">
        <f t="shared" si="4"/>
        <v>49000</v>
      </c>
    </row>
    <row r="145" spans="1:9" x14ac:dyDescent="0.3">
      <c r="A145" s="30">
        <v>136</v>
      </c>
      <c r="B145" s="30"/>
      <c r="C145" s="33" t="s">
        <v>607</v>
      </c>
      <c r="D145" s="30" t="s">
        <v>88</v>
      </c>
      <c r="E145" s="30">
        <v>3</v>
      </c>
      <c r="F145" s="26"/>
      <c r="G145" s="30">
        <f t="shared" si="5"/>
        <v>3</v>
      </c>
      <c r="H145" s="29">
        <v>63300</v>
      </c>
      <c r="I145" s="28">
        <f t="shared" si="4"/>
        <v>189900</v>
      </c>
    </row>
    <row r="146" spans="1:9" x14ac:dyDescent="0.3">
      <c r="A146" s="30">
        <v>137</v>
      </c>
      <c r="B146" s="30"/>
      <c r="C146" s="33" t="s">
        <v>606</v>
      </c>
      <c r="D146" s="30" t="s">
        <v>88</v>
      </c>
      <c r="E146" s="30">
        <v>2</v>
      </c>
      <c r="F146" s="26"/>
      <c r="G146" s="30">
        <f t="shared" si="5"/>
        <v>2</v>
      </c>
      <c r="H146" s="29">
        <v>37798.199999999997</v>
      </c>
      <c r="I146" s="28">
        <f t="shared" si="4"/>
        <v>75596.399999999994</v>
      </c>
    </row>
    <row r="147" spans="1:9" x14ac:dyDescent="0.3">
      <c r="A147" s="30">
        <v>138</v>
      </c>
      <c r="B147" s="30"/>
      <c r="C147" s="33" t="s">
        <v>605</v>
      </c>
      <c r="D147" s="30" t="s">
        <v>88</v>
      </c>
      <c r="E147" s="30">
        <v>2</v>
      </c>
      <c r="F147" s="26"/>
      <c r="G147" s="30">
        <f t="shared" si="5"/>
        <v>2</v>
      </c>
      <c r="H147" s="29">
        <v>98000</v>
      </c>
      <c r="I147" s="28">
        <f t="shared" si="4"/>
        <v>196000</v>
      </c>
    </row>
    <row r="148" spans="1:9" x14ac:dyDescent="0.3">
      <c r="A148" s="30">
        <v>139</v>
      </c>
      <c r="B148" s="30"/>
      <c r="C148" s="33" t="s">
        <v>604</v>
      </c>
      <c r="D148" s="30" t="s">
        <v>88</v>
      </c>
      <c r="E148" s="30">
        <v>2</v>
      </c>
      <c r="F148" s="26"/>
      <c r="G148" s="30">
        <f t="shared" si="5"/>
        <v>2</v>
      </c>
      <c r="H148" s="29">
        <v>56544</v>
      </c>
      <c r="I148" s="28">
        <f t="shared" si="4"/>
        <v>113088</v>
      </c>
    </row>
    <row r="149" spans="1:9" x14ac:dyDescent="0.3">
      <c r="A149" s="30">
        <v>140</v>
      </c>
      <c r="B149" s="30"/>
      <c r="C149" s="33" t="s">
        <v>603</v>
      </c>
      <c r="D149" s="30" t="s">
        <v>88</v>
      </c>
      <c r="E149" s="30">
        <v>1</v>
      </c>
      <c r="F149" s="26"/>
      <c r="G149" s="30">
        <f t="shared" si="5"/>
        <v>1</v>
      </c>
      <c r="H149" s="29">
        <v>39668</v>
      </c>
      <c r="I149" s="28">
        <f t="shared" si="4"/>
        <v>39668</v>
      </c>
    </row>
    <row r="150" spans="1:9" x14ac:dyDescent="0.3">
      <c r="A150" s="30">
        <v>141</v>
      </c>
      <c r="B150" s="30"/>
      <c r="C150" s="33" t="s">
        <v>602</v>
      </c>
      <c r="D150" s="30" t="s">
        <v>88</v>
      </c>
      <c r="E150" s="30">
        <v>1</v>
      </c>
      <c r="F150" s="26"/>
      <c r="G150" s="30">
        <f t="shared" si="5"/>
        <v>1</v>
      </c>
      <c r="H150" s="29">
        <v>16150</v>
      </c>
      <c r="I150" s="28">
        <f t="shared" si="4"/>
        <v>16150</v>
      </c>
    </row>
    <row r="151" spans="1:9" x14ac:dyDescent="0.3">
      <c r="A151" s="30">
        <v>142</v>
      </c>
      <c r="B151" s="30"/>
      <c r="C151" s="33" t="s">
        <v>601</v>
      </c>
      <c r="D151" s="30" t="s">
        <v>88</v>
      </c>
      <c r="E151" s="30">
        <v>1</v>
      </c>
      <c r="F151" s="26"/>
      <c r="G151" s="30">
        <f t="shared" si="5"/>
        <v>1</v>
      </c>
      <c r="H151" s="29">
        <v>16150</v>
      </c>
      <c r="I151" s="28">
        <f t="shared" si="4"/>
        <v>16150</v>
      </c>
    </row>
    <row r="152" spans="1:9" x14ac:dyDescent="0.3">
      <c r="A152" s="30">
        <v>143</v>
      </c>
      <c r="B152" s="30"/>
      <c r="C152" s="33" t="s">
        <v>600</v>
      </c>
      <c r="D152" s="30" t="s">
        <v>88</v>
      </c>
      <c r="E152" s="30">
        <v>2</v>
      </c>
      <c r="F152" s="26"/>
      <c r="G152" s="30">
        <f t="shared" si="5"/>
        <v>2</v>
      </c>
      <c r="H152" s="29">
        <v>96760</v>
      </c>
      <c r="I152" s="28">
        <f t="shared" si="4"/>
        <v>193520</v>
      </c>
    </row>
    <row r="153" spans="1:9" x14ac:dyDescent="0.3">
      <c r="A153" s="30">
        <v>144</v>
      </c>
      <c r="B153" s="30"/>
      <c r="C153" s="33" t="s">
        <v>599</v>
      </c>
      <c r="D153" s="30" t="s">
        <v>88</v>
      </c>
      <c r="E153" s="30">
        <v>1</v>
      </c>
      <c r="F153" s="26"/>
      <c r="G153" s="30">
        <f t="shared" si="5"/>
        <v>1</v>
      </c>
      <c r="H153" s="29">
        <v>48380</v>
      </c>
      <c r="I153" s="28">
        <f t="shared" si="4"/>
        <v>48380</v>
      </c>
    </row>
    <row r="154" spans="1:9" x14ac:dyDescent="0.3">
      <c r="A154" s="30">
        <v>145</v>
      </c>
      <c r="B154" s="30"/>
      <c r="C154" s="35" t="s">
        <v>598</v>
      </c>
      <c r="D154" s="30" t="s">
        <v>88</v>
      </c>
      <c r="E154" s="30">
        <v>5</v>
      </c>
      <c r="F154" s="26"/>
      <c r="G154" s="30">
        <f t="shared" si="5"/>
        <v>5</v>
      </c>
      <c r="H154" s="29">
        <v>31875</v>
      </c>
      <c r="I154" s="28">
        <f t="shared" si="4"/>
        <v>159375</v>
      </c>
    </row>
    <row r="155" spans="1:9" x14ac:dyDescent="0.3">
      <c r="A155" s="30">
        <v>146</v>
      </c>
      <c r="B155" s="30"/>
      <c r="C155" s="33" t="s">
        <v>597</v>
      </c>
      <c r="D155" s="30" t="s">
        <v>88</v>
      </c>
      <c r="E155" s="30">
        <v>5</v>
      </c>
      <c r="F155" s="26"/>
      <c r="G155" s="30">
        <f t="shared" si="5"/>
        <v>5</v>
      </c>
      <c r="H155" s="29">
        <v>24375</v>
      </c>
      <c r="I155" s="28">
        <f t="shared" si="4"/>
        <v>121875</v>
      </c>
    </row>
    <row r="156" spans="1:9" x14ac:dyDescent="0.3">
      <c r="A156" s="30">
        <v>147</v>
      </c>
      <c r="B156" s="30"/>
      <c r="C156" s="33" t="s">
        <v>596</v>
      </c>
      <c r="D156" s="30" t="s">
        <v>88</v>
      </c>
      <c r="E156" s="30">
        <v>4</v>
      </c>
      <c r="F156" s="26"/>
      <c r="G156" s="30">
        <f t="shared" si="5"/>
        <v>4</v>
      </c>
      <c r="H156" s="29">
        <v>19000</v>
      </c>
      <c r="I156" s="28">
        <f t="shared" si="4"/>
        <v>76000</v>
      </c>
    </row>
    <row r="157" spans="1:9" x14ac:dyDescent="0.3">
      <c r="A157" s="30">
        <v>148</v>
      </c>
      <c r="B157" s="30"/>
      <c r="C157" s="33" t="s">
        <v>595</v>
      </c>
      <c r="D157" s="30" t="s">
        <v>88</v>
      </c>
      <c r="E157" s="30">
        <v>5</v>
      </c>
      <c r="F157" s="26"/>
      <c r="G157" s="30">
        <f t="shared" si="5"/>
        <v>5</v>
      </c>
      <c r="H157" s="29">
        <v>23750</v>
      </c>
      <c r="I157" s="28">
        <f t="shared" si="4"/>
        <v>118750</v>
      </c>
    </row>
    <row r="158" spans="1:9" x14ac:dyDescent="0.3">
      <c r="A158" s="30">
        <v>149</v>
      </c>
      <c r="B158" s="30"/>
      <c r="C158" s="33" t="s">
        <v>594</v>
      </c>
      <c r="D158" s="30" t="s">
        <v>88</v>
      </c>
      <c r="E158" s="30">
        <v>1</v>
      </c>
      <c r="F158" s="26"/>
      <c r="G158" s="30">
        <f t="shared" si="5"/>
        <v>1</v>
      </c>
      <c r="H158" s="29">
        <v>4750</v>
      </c>
      <c r="I158" s="28">
        <f t="shared" si="4"/>
        <v>4750</v>
      </c>
    </row>
    <row r="159" spans="1:9" x14ac:dyDescent="0.3">
      <c r="A159" s="30">
        <v>150</v>
      </c>
      <c r="B159" s="30"/>
      <c r="C159" s="33" t="s">
        <v>593</v>
      </c>
      <c r="D159" s="30" t="s">
        <v>88</v>
      </c>
      <c r="E159" s="30">
        <v>2</v>
      </c>
      <c r="F159" s="26"/>
      <c r="G159" s="30">
        <f t="shared" si="5"/>
        <v>2</v>
      </c>
      <c r="H159" s="29">
        <v>109250</v>
      </c>
      <c r="I159" s="28">
        <f t="shared" si="4"/>
        <v>218500</v>
      </c>
    </row>
    <row r="160" spans="1:9" x14ac:dyDescent="0.3">
      <c r="A160" s="30">
        <v>151</v>
      </c>
      <c r="B160" s="30"/>
      <c r="C160" s="33" t="s">
        <v>592</v>
      </c>
      <c r="D160" s="30" t="s">
        <v>88</v>
      </c>
      <c r="E160" s="30">
        <v>2</v>
      </c>
      <c r="F160" s="26"/>
      <c r="G160" s="30">
        <f t="shared" si="5"/>
        <v>2</v>
      </c>
      <c r="H160" s="29">
        <v>80538</v>
      </c>
      <c r="I160" s="28">
        <f t="shared" si="4"/>
        <v>161076</v>
      </c>
    </row>
    <row r="161" spans="1:9" x14ac:dyDescent="0.3">
      <c r="A161" s="30">
        <v>152</v>
      </c>
      <c r="B161" s="30"/>
      <c r="C161" s="33" t="s">
        <v>591</v>
      </c>
      <c r="D161" s="30" t="s">
        <v>88</v>
      </c>
      <c r="E161" s="30">
        <v>4</v>
      </c>
      <c r="F161" s="26"/>
      <c r="G161" s="30">
        <f t="shared" si="5"/>
        <v>4</v>
      </c>
      <c r="H161" s="29">
        <v>161076</v>
      </c>
      <c r="I161" s="28">
        <f t="shared" si="4"/>
        <v>644304</v>
      </c>
    </row>
    <row r="162" spans="1:9" x14ac:dyDescent="0.3">
      <c r="A162" s="30">
        <v>153</v>
      </c>
      <c r="B162" s="30"/>
      <c r="C162" s="33" t="s">
        <v>590</v>
      </c>
      <c r="D162" s="30" t="s">
        <v>88</v>
      </c>
      <c r="E162" s="30">
        <v>2</v>
      </c>
      <c r="F162" s="26"/>
      <c r="G162" s="30">
        <f t="shared" si="5"/>
        <v>2</v>
      </c>
      <c r="H162" s="29">
        <v>56916</v>
      </c>
      <c r="I162" s="28">
        <f t="shared" si="4"/>
        <v>113832</v>
      </c>
    </row>
    <row r="163" spans="1:9" x14ac:dyDescent="0.3">
      <c r="A163" s="30">
        <v>154</v>
      </c>
      <c r="B163" s="30"/>
      <c r="C163" s="33" t="s">
        <v>589</v>
      </c>
      <c r="D163" s="30" t="s">
        <v>88</v>
      </c>
      <c r="E163" s="30">
        <v>1</v>
      </c>
      <c r="F163" s="26"/>
      <c r="G163" s="30">
        <f t="shared" si="5"/>
        <v>1</v>
      </c>
      <c r="H163" s="29">
        <v>16350</v>
      </c>
      <c r="I163" s="28">
        <f t="shared" si="4"/>
        <v>16350</v>
      </c>
    </row>
    <row r="164" spans="1:9" x14ac:dyDescent="0.3">
      <c r="A164" s="30">
        <v>155</v>
      </c>
      <c r="B164" s="30"/>
      <c r="C164" s="33" t="s">
        <v>588</v>
      </c>
      <c r="D164" s="30" t="s">
        <v>88</v>
      </c>
      <c r="E164" s="30">
        <v>1</v>
      </c>
      <c r="F164" s="26"/>
      <c r="G164" s="30">
        <f t="shared" si="5"/>
        <v>1</v>
      </c>
      <c r="H164" s="29">
        <v>16350</v>
      </c>
      <c r="I164" s="28">
        <f t="shared" si="4"/>
        <v>16350</v>
      </c>
    </row>
    <row r="165" spans="1:9" x14ac:dyDescent="0.3">
      <c r="A165" s="30">
        <v>156</v>
      </c>
      <c r="B165" s="30"/>
      <c r="C165" s="33" t="s">
        <v>587</v>
      </c>
      <c r="D165" s="30" t="s">
        <v>88</v>
      </c>
      <c r="E165" s="30">
        <v>2</v>
      </c>
      <c r="F165" s="26"/>
      <c r="G165" s="30">
        <f t="shared" si="5"/>
        <v>2</v>
      </c>
      <c r="H165" s="29">
        <v>32700</v>
      </c>
      <c r="I165" s="28">
        <f t="shared" si="4"/>
        <v>65400</v>
      </c>
    </row>
    <row r="166" spans="1:9" x14ac:dyDescent="0.3">
      <c r="A166" s="30">
        <v>157</v>
      </c>
      <c r="B166" s="30"/>
      <c r="C166" s="33" t="s">
        <v>586</v>
      </c>
      <c r="D166" s="30" t="s">
        <v>88</v>
      </c>
      <c r="E166" s="30">
        <v>2</v>
      </c>
      <c r="F166" s="26"/>
      <c r="G166" s="30">
        <f t="shared" si="5"/>
        <v>2</v>
      </c>
      <c r="H166" s="29">
        <v>32700</v>
      </c>
      <c r="I166" s="28">
        <f t="shared" si="4"/>
        <v>65400</v>
      </c>
    </row>
    <row r="167" spans="1:9" x14ac:dyDescent="0.3">
      <c r="A167" s="30">
        <v>158</v>
      </c>
      <c r="B167" s="30"/>
      <c r="C167" s="33" t="s">
        <v>585</v>
      </c>
      <c r="D167" s="30" t="s">
        <v>88</v>
      </c>
      <c r="E167" s="30">
        <v>3</v>
      </c>
      <c r="F167" s="26"/>
      <c r="G167" s="30">
        <f t="shared" si="5"/>
        <v>3</v>
      </c>
      <c r="H167" s="29">
        <v>72150</v>
      </c>
      <c r="I167" s="28">
        <f t="shared" si="4"/>
        <v>216450</v>
      </c>
    </row>
    <row r="168" spans="1:9" x14ac:dyDescent="0.3">
      <c r="A168" s="30">
        <v>159</v>
      </c>
      <c r="B168" s="30"/>
      <c r="C168" s="33" t="s">
        <v>584</v>
      </c>
      <c r="D168" s="30" t="s">
        <v>88</v>
      </c>
      <c r="E168" s="30">
        <v>1</v>
      </c>
      <c r="F168" s="26"/>
      <c r="G168" s="30">
        <f t="shared" si="5"/>
        <v>1</v>
      </c>
      <c r="H168" s="29">
        <v>39812.5</v>
      </c>
      <c r="I168" s="28">
        <f t="shared" si="4"/>
        <v>39812.5</v>
      </c>
    </row>
    <row r="169" spans="1:9" x14ac:dyDescent="0.3">
      <c r="A169" s="30">
        <v>160</v>
      </c>
      <c r="B169" s="30"/>
      <c r="C169" s="33" t="s">
        <v>583</v>
      </c>
      <c r="D169" s="30" t="s">
        <v>88</v>
      </c>
      <c r="E169" s="30">
        <v>1</v>
      </c>
      <c r="F169" s="26"/>
      <c r="G169" s="30">
        <f t="shared" si="5"/>
        <v>1</v>
      </c>
      <c r="H169" s="29">
        <v>39812.5</v>
      </c>
      <c r="I169" s="28">
        <f t="shared" si="4"/>
        <v>39812.5</v>
      </c>
    </row>
    <row r="170" spans="1:9" x14ac:dyDescent="0.3">
      <c r="A170" s="30">
        <v>161</v>
      </c>
      <c r="B170" s="30"/>
      <c r="C170" s="33" t="s">
        <v>582</v>
      </c>
      <c r="D170" s="30" t="s">
        <v>88</v>
      </c>
      <c r="E170" s="30">
        <v>2</v>
      </c>
      <c r="F170" s="26"/>
      <c r="G170" s="30">
        <f t="shared" si="5"/>
        <v>2</v>
      </c>
      <c r="H170" s="29">
        <v>98000</v>
      </c>
      <c r="I170" s="28">
        <f t="shared" si="4"/>
        <v>196000</v>
      </c>
    </row>
    <row r="171" spans="1:9" x14ac:dyDescent="0.3">
      <c r="A171" s="30">
        <v>162</v>
      </c>
      <c r="B171" s="30"/>
      <c r="C171" s="33" t="s">
        <v>581</v>
      </c>
      <c r="D171" s="30" t="s">
        <v>88</v>
      </c>
      <c r="E171" s="30">
        <v>2</v>
      </c>
      <c r="F171" s="26"/>
      <c r="G171" s="30">
        <f t="shared" si="5"/>
        <v>2</v>
      </c>
      <c r="H171" s="29">
        <v>98000</v>
      </c>
      <c r="I171" s="28">
        <f t="shared" si="4"/>
        <v>196000</v>
      </c>
    </row>
    <row r="172" spans="1:9" x14ac:dyDescent="0.3">
      <c r="A172" s="30">
        <v>163</v>
      </c>
      <c r="B172" s="30"/>
      <c r="C172" s="33" t="s">
        <v>580</v>
      </c>
      <c r="D172" s="30" t="s">
        <v>88</v>
      </c>
      <c r="E172" s="30">
        <v>2</v>
      </c>
      <c r="F172" s="26"/>
      <c r="G172" s="30">
        <f t="shared" si="5"/>
        <v>2</v>
      </c>
      <c r="H172" s="29">
        <v>98000</v>
      </c>
      <c r="I172" s="28">
        <f t="shared" si="4"/>
        <v>196000</v>
      </c>
    </row>
    <row r="173" spans="1:9" x14ac:dyDescent="0.3">
      <c r="A173" s="30">
        <v>164</v>
      </c>
      <c r="B173" s="30"/>
      <c r="C173" s="33" t="s">
        <v>579</v>
      </c>
      <c r="D173" s="30" t="s">
        <v>88</v>
      </c>
      <c r="E173" s="30">
        <v>2</v>
      </c>
      <c r="F173" s="26"/>
      <c r="G173" s="30">
        <f t="shared" si="5"/>
        <v>2</v>
      </c>
      <c r="H173" s="29">
        <v>98000</v>
      </c>
      <c r="I173" s="28">
        <f t="shared" si="4"/>
        <v>196000</v>
      </c>
    </row>
    <row r="174" spans="1:9" x14ac:dyDescent="0.3">
      <c r="A174" s="30">
        <v>165</v>
      </c>
      <c r="B174" s="30"/>
      <c r="C174" s="33" t="s">
        <v>578</v>
      </c>
      <c r="D174" s="30" t="s">
        <v>88</v>
      </c>
      <c r="E174" s="30">
        <v>3</v>
      </c>
      <c r="F174" s="26"/>
      <c r="G174" s="30">
        <f t="shared" si="5"/>
        <v>3</v>
      </c>
      <c r="H174" s="29">
        <v>147000</v>
      </c>
      <c r="I174" s="28">
        <f t="shared" si="4"/>
        <v>441000</v>
      </c>
    </row>
    <row r="175" spans="1:9" x14ac:dyDescent="0.3">
      <c r="A175" s="30">
        <v>166</v>
      </c>
      <c r="B175" s="30"/>
      <c r="C175" s="33" t="s">
        <v>577</v>
      </c>
      <c r="D175" s="30" t="s">
        <v>88</v>
      </c>
      <c r="E175" s="30">
        <v>2</v>
      </c>
      <c r="F175" s="26"/>
      <c r="G175" s="30">
        <f t="shared" si="5"/>
        <v>2</v>
      </c>
      <c r="H175" s="29">
        <v>98000</v>
      </c>
      <c r="I175" s="28">
        <f t="shared" si="4"/>
        <v>196000</v>
      </c>
    </row>
    <row r="176" spans="1:9" x14ac:dyDescent="0.3">
      <c r="A176" s="30">
        <v>167</v>
      </c>
      <c r="B176" s="30"/>
      <c r="C176" s="33" t="s">
        <v>576</v>
      </c>
      <c r="D176" s="30" t="s">
        <v>88</v>
      </c>
      <c r="E176" s="30">
        <v>2</v>
      </c>
      <c r="F176" s="26"/>
      <c r="G176" s="30">
        <f t="shared" si="5"/>
        <v>2</v>
      </c>
      <c r="H176" s="29">
        <v>98000</v>
      </c>
      <c r="I176" s="28">
        <f t="shared" si="4"/>
        <v>196000</v>
      </c>
    </row>
    <row r="177" spans="1:9" x14ac:dyDescent="0.3">
      <c r="A177" s="30">
        <v>168</v>
      </c>
      <c r="B177" s="30"/>
      <c r="C177" s="33" t="s">
        <v>575</v>
      </c>
      <c r="D177" s="30" t="s">
        <v>88</v>
      </c>
      <c r="E177" s="30">
        <v>3</v>
      </c>
      <c r="F177" s="26"/>
      <c r="G177" s="30">
        <f t="shared" si="5"/>
        <v>3</v>
      </c>
      <c r="H177" s="29">
        <v>43012.5</v>
      </c>
      <c r="I177" s="28">
        <f t="shared" si="4"/>
        <v>129037.5</v>
      </c>
    </row>
    <row r="178" spans="1:9" x14ac:dyDescent="0.3">
      <c r="A178" s="30">
        <v>169</v>
      </c>
      <c r="B178" s="30"/>
      <c r="C178" s="33" t="s">
        <v>574</v>
      </c>
      <c r="D178" s="30" t="s">
        <v>88</v>
      </c>
      <c r="E178" s="30">
        <v>2</v>
      </c>
      <c r="F178" s="26"/>
      <c r="G178" s="30">
        <f t="shared" si="5"/>
        <v>2</v>
      </c>
      <c r="H178" s="29">
        <v>98000</v>
      </c>
      <c r="I178" s="28">
        <f t="shared" si="4"/>
        <v>196000</v>
      </c>
    </row>
    <row r="179" spans="1:9" x14ac:dyDescent="0.3">
      <c r="A179" s="30">
        <v>170</v>
      </c>
      <c r="B179" s="30"/>
      <c r="C179" s="33" t="s">
        <v>573</v>
      </c>
      <c r="D179" s="30" t="s">
        <v>88</v>
      </c>
      <c r="E179" s="30">
        <v>2</v>
      </c>
      <c r="F179" s="26"/>
      <c r="G179" s="30">
        <f t="shared" si="5"/>
        <v>2</v>
      </c>
      <c r="H179" s="29">
        <v>98000</v>
      </c>
      <c r="I179" s="28">
        <f t="shared" si="4"/>
        <v>196000</v>
      </c>
    </row>
    <row r="180" spans="1:9" x14ac:dyDescent="0.3">
      <c r="A180" s="30">
        <v>171</v>
      </c>
      <c r="B180" s="30"/>
      <c r="C180" s="33" t="s">
        <v>572</v>
      </c>
      <c r="D180" s="30" t="s">
        <v>88</v>
      </c>
      <c r="E180" s="30">
        <v>2</v>
      </c>
      <c r="F180" s="26"/>
      <c r="G180" s="30">
        <f t="shared" si="5"/>
        <v>2</v>
      </c>
      <c r="H180" s="29">
        <v>98000</v>
      </c>
      <c r="I180" s="28">
        <f t="shared" si="4"/>
        <v>196000</v>
      </c>
    </row>
    <row r="181" spans="1:9" x14ac:dyDescent="0.3">
      <c r="A181" s="30">
        <v>172</v>
      </c>
      <c r="B181" s="30"/>
      <c r="C181" s="33" t="s">
        <v>571</v>
      </c>
      <c r="D181" s="30" t="s">
        <v>88</v>
      </c>
      <c r="E181" s="30">
        <v>3</v>
      </c>
      <c r="F181" s="26"/>
      <c r="G181" s="30">
        <f t="shared" si="5"/>
        <v>3</v>
      </c>
      <c r="H181" s="29">
        <v>147000</v>
      </c>
      <c r="I181" s="28">
        <f t="shared" si="4"/>
        <v>441000</v>
      </c>
    </row>
    <row r="182" spans="1:9" x14ac:dyDescent="0.3">
      <c r="A182" s="30">
        <v>173</v>
      </c>
      <c r="B182" s="30"/>
      <c r="C182" s="33" t="s">
        <v>570</v>
      </c>
      <c r="D182" s="30" t="s">
        <v>88</v>
      </c>
      <c r="E182" s="30">
        <v>3</v>
      </c>
      <c r="F182" s="26"/>
      <c r="G182" s="30">
        <f t="shared" si="5"/>
        <v>3</v>
      </c>
      <c r="H182" s="29">
        <v>147000</v>
      </c>
      <c r="I182" s="28">
        <f t="shared" si="4"/>
        <v>441000</v>
      </c>
    </row>
    <row r="183" spans="1:9" x14ac:dyDescent="0.3">
      <c r="A183" s="30">
        <v>174</v>
      </c>
      <c r="B183" s="30"/>
      <c r="C183" s="33" t="s">
        <v>569</v>
      </c>
      <c r="D183" s="30" t="s">
        <v>88</v>
      </c>
      <c r="E183" s="30">
        <v>3</v>
      </c>
      <c r="F183" s="26"/>
      <c r="G183" s="30">
        <f t="shared" si="5"/>
        <v>3</v>
      </c>
      <c r="H183" s="29">
        <v>147000</v>
      </c>
      <c r="I183" s="28">
        <f t="shared" si="4"/>
        <v>441000</v>
      </c>
    </row>
    <row r="184" spans="1:9" x14ac:dyDescent="0.3">
      <c r="A184" s="30">
        <v>175</v>
      </c>
      <c r="B184" s="30"/>
      <c r="C184" s="33" t="s">
        <v>568</v>
      </c>
      <c r="D184" s="30" t="s">
        <v>88</v>
      </c>
      <c r="E184" s="30">
        <v>3</v>
      </c>
      <c r="F184" s="26"/>
      <c r="G184" s="30">
        <f t="shared" si="5"/>
        <v>3</v>
      </c>
      <c r="H184" s="29">
        <v>147000</v>
      </c>
      <c r="I184" s="28">
        <f t="shared" si="4"/>
        <v>441000</v>
      </c>
    </row>
    <row r="185" spans="1:9" x14ac:dyDescent="0.3">
      <c r="A185" s="30">
        <v>176</v>
      </c>
      <c r="B185" s="30"/>
      <c r="C185" s="33" t="s">
        <v>567</v>
      </c>
      <c r="D185" s="30" t="s">
        <v>88</v>
      </c>
      <c r="E185" s="30">
        <v>2</v>
      </c>
      <c r="F185" s="26"/>
      <c r="G185" s="30">
        <f t="shared" si="5"/>
        <v>2</v>
      </c>
      <c r="H185" s="29">
        <v>47188</v>
      </c>
      <c r="I185" s="28">
        <f t="shared" si="4"/>
        <v>94376</v>
      </c>
    </row>
    <row r="186" spans="1:9" x14ac:dyDescent="0.3">
      <c r="A186" s="30">
        <v>177</v>
      </c>
      <c r="B186" s="30"/>
      <c r="C186" s="33" t="s">
        <v>566</v>
      </c>
      <c r="D186" s="30" t="s">
        <v>88</v>
      </c>
      <c r="E186" s="30">
        <v>2</v>
      </c>
      <c r="F186" s="26"/>
      <c r="G186" s="30">
        <f t="shared" si="5"/>
        <v>2</v>
      </c>
      <c r="H186" s="29">
        <v>49632</v>
      </c>
      <c r="I186" s="28">
        <f t="shared" si="4"/>
        <v>99264</v>
      </c>
    </row>
    <row r="187" spans="1:9" x14ac:dyDescent="0.3">
      <c r="A187" s="30">
        <v>178</v>
      </c>
      <c r="B187" s="30"/>
      <c r="C187" s="33" t="s">
        <v>565</v>
      </c>
      <c r="D187" s="30" t="s">
        <v>88</v>
      </c>
      <c r="E187" s="30">
        <v>2</v>
      </c>
      <c r="F187" s="26"/>
      <c r="G187" s="30">
        <f t="shared" si="5"/>
        <v>2</v>
      </c>
      <c r="H187" s="29">
        <v>47000</v>
      </c>
      <c r="I187" s="28">
        <f t="shared" si="4"/>
        <v>94000</v>
      </c>
    </row>
    <row r="188" spans="1:9" x14ac:dyDescent="0.3">
      <c r="A188" s="30">
        <v>179</v>
      </c>
      <c r="B188" s="30"/>
      <c r="C188" s="33" t="s">
        <v>564</v>
      </c>
      <c r="D188" s="30" t="s">
        <v>88</v>
      </c>
      <c r="E188" s="30">
        <v>2</v>
      </c>
      <c r="F188" s="26"/>
      <c r="G188" s="30">
        <f t="shared" si="5"/>
        <v>2</v>
      </c>
      <c r="H188" s="29">
        <v>47752</v>
      </c>
      <c r="I188" s="28">
        <f t="shared" si="4"/>
        <v>95504</v>
      </c>
    </row>
    <row r="189" spans="1:9" x14ac:dyDescent="0.3">
      <c r="A189" s="30">
        <v>180</v>
      </c>
      <c r="B189" s="30"/>
      <c r="C189" s="33" t="s">
        <v>563</v>
      </c>
      <c r="D189" s="30" t="s">
        <v>88</v>
      </c>
      <c r="E189" s="30">
        <v>2</v>
      </c>
      <c r="F189" s="26"/>
      <c r="G189" s="30">
        <f t="shared" si="5"/>
        <v>2</v>
      </c>
      <c r="H189" s="29">
        <v>64800</v>
      </c>
      <c r="I189" s="28">
        <f t="shared" si="4"/>
        <v>129600</v>
      </c>
    </row>
    <row r="190" spans="1:9" x14ac:dyDescent="0.3">
      <c r="A190" s="30">
        <v>181</v>
      </c>
      <c r="B190" s="30"/>
      <c r="C190" s="33" t="s">
        <v>562</v>
      </c>
      <c r="D190" s="30" t="s">
        <v>88</v>
      </c>
      <c r="E190" s="30">
        <v>2</v>
      </c>
      <c r="F190" s="26"/>
      <c r="G190" s="30">
        <f t="shared" si="5"/>
        <v>2</v>
      </c>
      <c r="H190" s="29">
        <v>63180</v>
      </c>
      <c r="I190" s="28">
        <f t="shared" si="4"/>
        <v>126360</v>
      </c>
    </row>
    <row r="191" spans="1:9" x14ac:dyDescent="0.3">
      <c r="A191" s="30">
        <v>182</v>
      </c>
      <c r="B191" s="30"/>
      <c r="C191" s="33" t="s">
        <v>561</v>
      </c>
      <c r="D191" s="30" t="s">
        <v>88</v>
      </c>
      <c r="E191" s="30">
        <v>2</v>
      </c>
      <c r="F191" s="26"/>
      <c r="G191" s="30">
        <f t="shared" si="5"/>
        <v>2</v>
      </c>
      <c r="H191" s="29">
        <v>100800</v>
      </c>
      <c r="I191" s="28">
        <f t="shared" si="4"/>
        <v>201600</v>
      </c>
    </row>
    <row r="192" spans="1:9" x14ac:dyDescent="0.3">
      <c r="A192" s="30">
        <v>183</v>
      </c>
      <c r="B192" s="30"/>
      <c r="C192" s="33" t="s">
        <v>560</v>
      </c>
      <c r="D192" s="30" t="s">
        <v>88</v>
      </c>
      <c r="E192" s="30">
        <v>2</v>
      </c>
      <c r="F192" s="26"/>
      <c r="G192" s="30">
        <f t="shared" si="5"/>
        <v>2</v>
      </c>
      <c r="H192" s="29">
        <v>94320</v>
      </c>
      <c r="I192" s="28">
        <f t="shared" si="4"/>
        <v>188640</v>
      </c>
    </row>
    <row r="193" spans="1:9" x14ac:dyDescent="0.3">
      <c r="A193" s="30">
        <v>184</v>
      </c>
      <c r="B193" s="30"/>
      <c r="C193" s="33" t="s">
        <v>559</v>
      </c>
      <c r="D193" s="30" t="s">
        <v>88</v>
      </c>
      <c r="E193" s="30">
        <v>3</v>
      </c>
      <c r="F193" s="26"/>
      <c r="G193" s="30">
        <f t="shared" si="5"/>
        <v>3</v>
      </c>
      <c r="H193" s="29">
        <v>88560</v>
      </c>
      <c r="I193" s="28">
        <f t="shared" si="4"/>
        <v>265680</v>
      </c>
    </row>
    <row r="194" spans="1:9" x14ac:dyDescent="0.3">
      <c r="A194" s="30">
        <v>185</v>
      </c>
      <c r="B194" s="30"/>
      <c r="C194" s="33" t="s">
        <v>558</v>
      </c>
      <c r="D194" s="30" t="s">
        <v>88</v>
      </c>
      <c r="E194" s="30">
        <v>3</v>
      </c>
      <c r="F194" s="26"/>
      <c r="G194" s="30">
        <f t="shared" si="5"/>
        <v>3</v>
      </c>
      <c r="H194" s="29">
        <v>88290</v>
      </c>
      <c r="I194" s="28">
        <f t="shared" si="4"/>
        <v>264870</v>
      </c>
    </row>
    <row r="195" spans="1:9" x14ac:dyDescent="0.3">
      <c r="A195" s="30">
        <v>186</v>
      </c>
      <c r="B195" s="30"/>
      <c r="C195" s="33" t="s">
        <v>557</v>
      </c>
      <c r="D195" s="30" t="s">
        <v>88</v>
      </c>
      <c r="E195" s="30">
        <v>3</v>
      </c>
      <c r="F195" s="26"/>
      <c r="G195" s="30">
        <f t="shared" si="5"/>
        <v>3</v>
      </c>
      <c r="H195" s="29">
        <v>114750</v>
      </c>
      <c r="I195" s="28">
        <f t="shared" si="4"/>
        <v>344250</v>
      </c>
    </row>
    <row r="196" spans="1:9" x14ac:dyDescent="0.3">
      <c r="A196" s="30">
        <v>187</v>
      </c>
      <c r="B196" s="30"/>
      <c r="C196" s="33" t="s">
        <v>556</v>
      </c>
      <c r="D196" s="30" t="s">
        <v>88</v>
      </c>
      <c r="E196" s="30">
        <v>3</v>
      </c>
      <c r="F196" s="26"/>
      <c r="G196" s="30">
        <f t="shared" si="5"/>
        <v>3</v>
      </c>
      <c r="H196" s="29">
        <v>86940</v>
      </c>
      <c r="I196" s="28">
        <f t="shared" si="4"/>
        <v>260820</v>
      </c>
    </row>
    <row r="197" spans="1:9" x14ac:dyDescent="0.3">
      <c r="A197" s="30">
        <v>188</v>
      </c>
      <c r="B197" s="30"/>
      <c r="C197" s="33" t="s">
        <v>555</v>
      </c>
      <c r="D197" s="30" t="s">
        <v>88</v>
      </c>
      <c r="E197" s="30">
        <v>2</v>
      </c>
      <c r="F197" s="26"/>
      <c r="G197" s="30">
        <f t="shared" si="5"/>
        <v>2</v>
      </c>
      <c r="H197" s="29">
        <v>37798.199999999997</v>
      </c>
      <c r="I197" s="28">
        <f t="shared" si="4"/>
        <v>75596.399999999994</v>
      </c>
    </row>
    <row r="198" spans="1:9" x14ac:dyDescent="0.3">
      <c r="A198" s="30">
        <v>189</v>
      </c>
      <c r="B198" s="30"/>
      <c r="C198" s="33" t="s">
        <v>554</v>
      </c>
      <c r="D198" s="30" t="s">
        <v>88</v>
      </c>
      <c r="E198" s="30">
        <v>2</v>
      </c>
      <c r="F198" s="26"/>
      <c r="G198" s="30">
        <f t="shared" si="5"/>
        <v>2</v>
      </c>
      <c r="H198" s="29">
        <v>42300</v>
      </c>
      <c r="I198" s="28">
        <f t="shared" si="4"/>
        <v>84600</v>
      </c>
    </row>
    <row r="199" spans="1:9" x14ac:dyDescent="0.3">
      <c r="A199" s="30">
        <v>190</v>
      </c>
      <c r="B199" s="30"/>
      <c r="C199" s="33" t="s">
        <v>553</v>
      </c>
      <c r="D199" s="30" t="s">
        <v>88</v>
      </c>
      <c r="E199" s="30">
        <v>2</v>
      </c>
      <c r="F199" s="26"/>
      <c r="G199" s="30">
        <f t="shared" si="5"/>
        <v>2</v>
      </c>
      <c r="H199" s="29">
        <v>42300</v>
      </c>
      <c r="I199" s="28">
        <f t="shared" si="4"/>
        <v>84600</v>
      </c>
    </row>
    <row r="200" spans="1:9" x14ac:dyDescent="0.3">
      <c r="A200" s="30">
        <v>191</v>
      </c>
      <c r="B200" s="30"/>
      <c r="C200" s="33" t="s">
        <v>552</v>
      </c>
      <c r="D200" s="30" t="s">
        <v>88</v>
      </c>
      <c r="E200" s="30">
        <v>2</v>
      </c>
      <c r="F200" s="26"/>
      <c r="G200" s="30">
        <f t="shared" si="5"/>
        <v>2</v>
      </c>
      <c r="H200" s="29">
        <v>42300</v>
      </c>
      <c r="I200" s="28">
        <f t="shared" si="4"/>
        <v>84600</v>
      </c>
    </row>
    <row r="201" spans="1:9" x14ac:dyDescent="0.3">
      <c r="A201" s="30">
        <v>192</v>
      </c>
      <c r="B201" s="30"/>
      <c r="C201" s="33" t="s">
        <v>551</v>
      </c>
      <c r="D201" s="30" t="s">
        <v>88</v>
      </c>
      <c r="E201" s="30">
        <v>2</v>
      </c>
      <c r="F201" s="26"/>
      <c r="G201" s="30">
        <f t="shared" si="5"/>
        <v>2</v>
      </c>
      <c r="H201" s="29">
        <v>9200</v>
      </c>
      <c r="I201" s="28">
        <f t="shared" si="4"/>
        <v>18400</v>
      </c>
    </row>
    <row r="202" spans="1:9" x14ac:dyDescent="0.3">
      <c r="A202" s="30">
        <v>193</v>
      </c>
      <c r="B202" s="30"/>
      <c r="C202" s="33" t="s">
        <v>550</v>
      </c>
      <c r="D202" s="30" t="s">
        <v>88</v>
      </c>
      <c r="E202" s="30">
        <v>2</v>
      </c>
      <c r="F202" s="26"/>
      <c r="G202" s="30">
        <f t="shared" si="5"/>
        <v>2</v>
      </c>
      <c r="H202" s="29">
        <v>9800</v>
      </c>
      <c r="I202" s="28">
        <f t="shared" ref="I202:I265" si="6">G202*H202</f>
        <v>19600</v>
      </c>
    </row>
    <row r="203" spans="1:9" x14ac:dyDescent="0.3">
      <c r="A203" s="30">
        <v>194</v>
      </c>
      <c r="B203" s="30"/>
      <c r="C203" s="33" t="s">
        <v>549</v>
      </c>
      <c r="D203" s="30" t="s">
        <v>88</v>
      </c>
      <c r="E203" s="30">
        <v>2</v>
      </c>
      <c r="F203" s="26"/>
      <c r="G203" s="30">
        <f t="shared" ref="G203:G266" si="7">E203-F203</f>
        <v>2</v>
      </c>
      <c r="H203" s="29">
        <v>10600</v>
      </c>
      <c r="I203" s="28">
        <f t="shared" si="6"/>
        <v>21200</v>
      </c>
    </row>
    <row r="204" spans="1:9" x14ac:dyDescent="0.3">
      <c r="A204" s="30">
        <v>195</v>
      </c>
      <c r="B204" s="30"/>
      <c r="C204" s="33" t="s">
        <v>548</v>
      </c>
      <c r="D204" s="30" t="s">
        <v>88</v>
      </c>
      <c r="E204" s="30">
        <v>2</v>
      </c>
      <c r="F204" s="26"/>
      <c r="G204" s="30">
        <f t="shared" si="7"/>
        <v>2</v>
      </c>
      <c r="H204" s="29">
        <v>11200</v>
      </c>
      <c r="I204" s="28">
        <f t="shared" si="6"/>
        <v>22400</v>
      </c>
    </row>
    <row r="205" spans="1:9" x14ac:dyDescent="0.3">
      <c r="A205" s="30">
        <v>196</v>
      </c>
      <c r="B205" s="30"/>
      <c r="C205" s="33" t="s">
        <v>547</v>
      </c>
      <c r="D205" s="30" t="s">
        <v>88</v>
      </c>
      <c r="E205" s="30">
        <v>2</v>
      </c>
      <c r="F205" s="26"/>
      <c r="G205" s="30">
        <f t="shared" si="7"/>
        <v>2</v>
      </c>
      <c r="H205" s="29">
        <v>9800</v>
      </c>
      <c r="I205" s="28">
        <f t="shared" si="6"/>
        <v>19600</v>
      </c>
    </row>
    <row r="206" spans="1:9" x14ac:dyDescent="0.3">
      <c r="A206" s="30">
        <v>197</v>
      </c>
      <c r="B206" s="30"/>
      <c r="C206" s="33" t="s">
        <v>546</v>
      </c>
      <c r="D206" s="30" t="s">
        <v>88</v>
      </c>
      <c r="E206" s="30">
        <v>2</v>
      </c>
      <c r="F206" s="26"/>
      <c r="G206" s="30">
        <f t="shared" si="7"/>
        <v>2</v>
      </c>
      <c r="H206" s="29">
        <v>11800</v>
      </c>
      <c r="I206" s="28">
        <f t="shared" si="6"/>
        <v>23600</v>
      </c>
    </row>
    <row r="207" spans="1:9" x14ac:dyDescent="0.3">
      <c r="A207" s="30">
        <v>198</v>
      </c>
      <c r="B207" s="30"/>
      <c r="C207" s="33" t="s">
        <v>545</v>
      </c>
      <c r="D207" s="30" t="s">
        <v>88</v>
      </c>
      <c r="E207" s="30">
        <v>2</v>
      </c>
      <c r="F207" s="26"/>
      <c r="G207" s="30">
        <f t="shared" si="7"/>
        <v>2</v>
      </c>
      <c r="H207" s="29">
        <v>11200</v>
      </c>
      <c r="I207" s="28">
        <f t="shared" si="6"/>
        <v>22400</v>
      </c>
    </row>
    <row r="208" spans="1:9" x14ac:dyDescent="0.3">
      <c r="A208" s="30">
        <v>199</v>
      </c>
      <c r="B208" s="30"/>
      <c r="C208" s="33" t="s">
        <v>544</v>
      </c>
      <c r="D208" s="30" t="s">
        <v>88</v>
      </c>
      <c r="E208" s="30">
        <v>2</v>
      </c>
      <c r="F208" s="26"/>
      <c r="G208" s="30">
        <f t="shared" si="7"/>
        <v>2</v>
      </c>
      <c r="H208" s="29">
        <v>10600</v>
      </c>
      <c r="I208" s="28">
        <f t="shared" si="6"/>
        <v>21200</v>
      </c>
    </row>
    <row r="209" spans="1:9" x14ac:dyDescent="0.3">
      <c r="A209" s="30">
        <v>200</v>
      </c>
      <c r="B209" s="30"/>
      <c r="C209" s="33" t="s">
        <v>543</v>
      </c>
      <c r="D209" s="30" t="s">
        <v>88</v>
      </c>
      <c r="E209" s="30">
        <v>2</v>
      </c>
      <c r="F209" s="26"/>
      <c r="G209" s="30">
        <f t="shared" si="7"/>
        <v>2</v>
      </c>
      <c r="H209" s="29">
        <v>10600</v>
      </c>
      <c r="I209" s="28">
        <f t="shared" si="6"/>
        <v>21200</v>
      </c>
    </row>
    <row r="210" spans="1:9" x14ac:dyDescent="0.3">
      <c r="A210" s="30">
        <v>201</v>
      </c>
      <c r="B210" s="30"/>
      <c r="C210" s="33" t="s">
        <v>542</v>
      </c>
      <c r="D210" s="30" t="s">
        <v>88</v>
      </c>
      <c r="E210" s="30">
        <v>2</v>
      </c>
      <c r="F210" s="26"/>
      <c r="G210" s="30">
        <f t="shared" si="7"/>
        <v>2</v>
      </c>
      <c r="H210" s="29">
        <v>9800</v>
      </c>
      <c r="I210" s="28">
        <f t="shared" si="6"/>
        <v>19600</v>
      </c>
    </row>
    <row r="211" spans="1:9" x14ac:dyDescent="0.3">
      <c r="A211" s="30">
        <v>202</v>
      </c>
      <c r="B211" s="30"/>
      <c r="C211" s="33" t="s">
        <v>541</v>
      </c>
      <c r="D211" s="30" t="s">
        <v>88</v>
      </c>
      <c r="E211" s="30">
        <v>2</v>
      </c>
      <c r="F211" s="26"/>
      <c r="G211" s="30">
        <f t="shared" si="7"/>
        <v>2</v>
      </c>
      <c r="H211" s="29">
        <v>10800</v>
      </c>
      <c r="I211" s="28">
        <f t="shared" si="6"/>
        <v>21600</v>
      </c>
    </row>
    <row r="212" spans="1:9" x14ac:dyDescent="0.3">
      <c r="A212" s="30">
        <v>203</v>
      </c>
      <c r="B212" s="30"/>
      <c r="C212" s="33" t="s">
        <v>540</v>
      </c>
      <c r="D212" s="30" t="s">
        <v>88</v>
      </c>
      <c r="E212" s="30">
        <v>2</v>
      </c>
      <c r="F212" s="26"/>
      <c r="G212" s="30">
        <f t="shared" si="7"/>
        <v>2</v>
      </c>
      <c r="H212" s="29">
        <v>10800</v>
      </c>
      <c r="I212" s="28">
        <f t="shared" si="6"/>
        <v>21600</v>
      </c>
    </row>
    <row r="213" spans="1:9" x14ac:dyDescent="0.3">
      <c r="A213" s="30">
        <v>204</v>
      </c>
      <c r="B213" s="30"/>
      <c r="C213" s="33" t="s">
        <v>539</v>
      </c>
      <c r="D213" s="30" t="s">
        <v>88</v>
      </c>
      <c r="E213" s="30">
        <v>2</v>
      </c>
      <c r="F213" s="26"/>
      <c r="G213" s="30">
        <f t="shared" si="7"/>
        <v>2</v>
      </c>
      <c r="H213" s="29">
        <v>67704</v>
      </c>
      <c r="I213" s="28">
        <f t="shared" si="6"/>
        <v>135408</v>
      </c>
    </row>
    <row r="214" spans="1:9" x14ac:dyDescent="0.3">
      <c r="A214" s="30">
        <v>205</v>
      </c>
      <c r="B214" s="30"/>
      <c r="C214" s="33" t="s">
        <v>538</v>
      </c>
      <c r="D214" s="30" t="s">
        <v>88</v>
      </c>
      <c r="E214" s="30">
        <v>2</v>
      </c>
      <c r="F214" s="26"/>
      <c r="G214" s="30">
        <f t="shared" si="7"/>
        <v>2</v>
      </c>
      <c r="H214" s="29">
        <v>67704</v>
      </c>
      <c r="I214" s="28">
        <f t="shared" si="6"/>
        <v>135408</v>
      </c>
    </row>
    <row r="215" spans="1:9" x14ac:dyDescent="0.3">
      <c r="A215" s="30">
        <v>206</v>
      </c>
      <c r="B215" s="30"/>
      <c r="C215" s="33" t="s">
        <v>537</v>
      </c>
      <c r="D215" s="30" t="s">
        <v>88</v>
      </c>
      <c r="E215" s="30">
        <v>2</v>
      </c>
      <c r="F215" s="26"/>
      <c r="G215" s="30">
        <f t="shared" si="7"/>
        <v>2</v>
      </c>
      <c r="H215" s="29">
        <v>44820</v>
      </c>
      <c r="I215" s="28">
        <f t="shared" si="6"/>
        <v>89640</v>
      </c>
    </row>
    <row r="216" spans="1:9" x14ac:dyDescent="0.3">
      <c r="A216" s="30">
        <v>207</v>
      </c>
      <c r="B216" s="30"/>
      <c r="C216" s="33" t="s">
        <v>536</v>
      </c>
      <c r="D216" s="30" t="s">
        <v>88</v>
      </c>
      <c r="E216" s="30">
        <v>2</v>
      </c>
      <c r="F216" s="26"/>
      <c r="G216" s="30">
        <f t="shared" si="7"/>
        <v>2</v>
      </c>
      <c r="H216" s="29">
        <v>44820</v>
      </c>
      <c r="I216" s="28">
        <f t="shared" si="6"/>
        <v>89640</v>
      </c>
    </row>
    <row r="217" spans="1:9" x14ac:dyDescent="0.3">
      <c r="A217" s="30">
        <v>208</v>
      </c>
      <c r="B217" s="30"/>
      <c r="C217" s="33" t="s">
        <v>535</v>
      </c>
      <c r="D217" s="30" t="s">
        <v>88</v>
      </c>
      <c r="E217" s="30">
        <v>3</v>
      </c>
      <c r="F217" s="26"/>
      <c r="G217" s="30">
        <f t="shared" si="7"/>
        <v>3</v>
      </c>
      <c r="H217" s="29">
        <v>50100</v>
      </c>
      <c r="I217" s="28">
        <f t="shared" si="6"/>
        <v>150300</v>
      </c>
    </row>
    <row r="218" spans="1:9" x14ac:dyDescent="0.3">
      <c r="A218" s="30">
        <v>209</v>
      </c>
      <c r="B218" s="30"/>
      <c r="C218" s="33" t="s">
        <v>534</v>
      </c>
      <c r="D218" s="30" t="s">
        <v>88</v>
      </c>
      <c r="E218" s="30">
        <v>3</v>
      </c>
      <c r="F218" s="26"/>
      <c r="G218" s="30">
        <f t="shared" si="7"/>
        <v>3</v>
      </c>
      <c r="H218" s="29">
        <v>55650</v>
      </c>
      <c r="I218" s="28">
        <f t="shared" si="6"/>
        <v>166950</v>
      </c>
    </row>
    <row r="219" spans="1:9" x14ac:dyDescent="0.3">
      <c r="A219" s="30">
        <v>210</v>
      </c>
      <c r="B219" s="30"/>
      <c r="C219" s="33" t="s">
        <v>533</v>
      </c>
      <c r="D219" s="30" t="s">
        <v>88</v>
      </c>
      <c r="E219" s="30">
        <v>2</v>
      </c>
      <c r="F219" s="26"/>
      <c r="G219" s="30">
        <f t="shared" si="7"/>
        <v>2</v>
      </c>
      <c r="H219" s="29">
        <v>37100</v>
      </c>
      <c r="I219" s="28">
        <f t="shared" si="6"/>
        <v>74200</v>
      </c>
    </row>
    <row r="220" spans="1:9" x14ac:dyDescent="0.3">
      <c r="A220" s="30">
        <v>211</v>
      </c>
      <c r="B220" s="30"/>
      <c r="C220" s="33" t="s">
        <v>532</v>
      </c>
      <c r="D220" s="30" t="s">
        <v>88</v>
      </c>
      <c r="E220" s="30">
        <v>2</v>
      </c>
      <c r="F220" s="26"/>
      <c r="G220" s="30">
        <f t="shared" si="7"/>
        <v>2</v>
      </c>
      <c r="H220" s="29">
        <v>37100</v>
      </c>
      <c r="I220" s="28">
        <f t="shared" si="6"/>
        <v>74200</v>
      </c>
    </row>
    <row r="221" spans="1:9" x14ac:dyDescent="0.3">
      <c r="A221" s="30">
        <v>212</v>
      </c>
      <c r="B221" s="30"/>
      <c r="C221" s="33" t="s">
        <v>531</v>
      </c>
      <c r="D221" s="30" t="s">
        <v>88</v>
      </c>
      <c r="E221" s="30">
        <v>2</v>
      </c>
      <c r="F221" s="26"/>
      <c r="G221" s="30">
        <f t="shared" si="7"/>
        <v>2</v>
      </c>
      <c r="H221" s="29">
        <v>37100</v>
      </c>
      <c r="I221" s="28">
        <f t="shared" si="6"/>
        <v>74200</v>
      </c>
    </row>
    <row r="222" spans="1:9" x14ac:dyDescent="0.3">
      <c r="A222" s="30">
        <v>213</v>
      </c>
      <c r="B222" s="30"/>
      <c r="C222" s="33" t="s">
        <v>530</v>
      </c>
      <c r="D222" s="30" t="s">
        <v>88</v>
      </c>
      <c r="E222" s="30">
        <v>2</v>
      </c>
      <c r="F222" s="26"/>
      <c r="G222" s="30">
        <f t="shared" si="7"/>
        <v>2</v>
      </c>
      <c r="H222" s="29">
        <v>37100</v>
      </c>
      <c r="I222" s="28">
        <f t="shared" si="6"/>
        <v>74200</v>
      </c>
    </row>
    <row r="223" spans="1:9" x14ac:dyDescent="0.3">
      <c r="A223" s="30">
        <v>214</v>
      </c>
      <c r="B223" s="30"/>
      <c r="C223" s="33" t="s">
        <v>529</v>
      </c>
      <c r="D223" s="30" t="s">
        <v>88</v>
      </c>
      <c r="E223" s="30">
        <v>2</v>
      </c>
      <c r="F223" s="26"/>
      <c r="G223" s="30">
        <f t="shared" si="7"/>
        <v>2</v>
      </c>
      <c r="H223" s="29">
        <v>37100</v>
      </c>
      <c r="I223" s="28">
        <f t="shared" si="6"/>
        <v>74200</v>
      </c>
    </row>
    <row r="224" spans="1:9" x14ac:dyDescent="0.3">
      <c r="A224" s="30">
        <v>215</v>
      </c>
      <c r="B224" s="30"/>
      <c r="C224" s="33" t="s">
        <v>528</v>
      </c>
      <c r="D224" s="30" t="s">
        <v>88</v>
      </c>
      <c r="E224" s="30">
        <v>2</v>
      </c>
      <c r="F224" s="26"/>
      <c r="G224" s="30">
        <f t="shared" si="7"/>
        <v>2</v>
      </c>
      <c r="H224" s="29">
        <v>37100</v>
      </c>
      <c r="I224" s="28">
        <f t="shared" si="6"/>
        <v>74200</v>
      </c>
    </row>
    <row r="225" spans="1:9" x14ac:dyDescent="0.3">
      <c r="A225" s="30">
        <v>216</v>
      </c>
      <c r="B225" s="30"/>
      <c r="C225" s="33" t="s">
        <v>527</v>
      </c>
      <c r="D225" s="30" t="s">
        <v>88</v>
      </c>
      <c r="E225" s="30">
        <v>2</v>
      </c>
      <c r="F225" s="26"/>
      <c r="G225" s="30">
        <f t="shared" si="7"/>
        <v>2</v>
      </c>
      <c r="H225" s="29">
        <v>119525</v>
      </c>
      <c r="I225" s="28">
        <f t="shared" si="6"/>
        <v>239050</v>
      </c>
    </row>
    <row r="226" spans="1:9" x14ac:dyDescent="0.3">
      <c r="A226" s="30">
        <v>217</v>
      </c>
      <c r="B226" s="30"/>
      <c r="C226" s="33" t="s">
        <v>526</v>
      </c>
      <c r="D226" s="30" t="s">
        <v>88</v>
      </c>
      <c r="E226" s="30">
        <v>2</v>
      </c>
      <c r="F226" s="26"/>
      <c r="G226" s="30">
        <f t="shared" si="7"/>
        <v>2</v>
      </c>
      <c r="H226" s="29">
        <v>110250</v>
      </c>
      <c r="I226" s="28">
        <f t="shared" si="6"/>
        <v>220500</v>
      </c>
    </row>
    <row r="227" spans="1:9" x14ac:dyDescent="0.3">
      <c r="A227" s="30">
        <v>218</v>
      </c>
      <c r="B227" s="30"/>
      <c r="C227" s="33" t="s">
        <v>525</v>
      </c>
      <c r="D227" s="30" t="s">
        <v>88</v>
      </c>
      <c r="E227" s="30">
        <v>2</v>
      </c>
      <c r="F227" s="26"/>
      <c r="G227" s="30">
        <f t="shared" si="7"/>
        <v>2</v>
      </c>
      <c r="H227" s="29">
        <v>139650</v>
      </c>
      <c r="I227" s="28">
        <f t="shared" si="6"/>
        <v>279300</v>
      </c>
    </row>
    <row r="228" spans="1:9" x14ac:dyDescent="0.3">
      <c r="A228" s="30">
        <v>219</v>
      </c>
      <c r="B228" s="30"/>
      <c r="C228" s="33" t="s">
        <v>524</v>
      </c>
      <c r="D228" s="30" t="s">
        <v>88</v>
      </c>
      <c r="E228" s="30">
        <v>1</v>
      </c>
      <c r="F228" s="26"/>
      <c r="G228" s="30">
        <f t="shared" si="7"/>
        <v>1</v>
      </c>
      <c r="H228" s="29">
        <v>34912.5</v>
      </c>
      <c r="I228" s="28">
        <f t="shared" si="6"/>
        <v>34912.5</v>
      </c>
    </row>
    <row r="229" spans="1:9" x14ac:dyDescent="0.3">
      <c r="A229" s="30">
        <v>220</v>
      </c>
      <c r="B229" s="30"/>
      <c r="C229" s="33" t="s">
        <v>523</v>
      </c>
      <c r="D229" s="30" t="s">
        <v>88</v>
      </c>
      <c r="E229" s="30">
        <v>1</v>
      </c>
      <c r="F229" s="26"/>
      <c r="G229" s="30">
        <f t="shared" si="7"/>
        <v>1</v>
      </c>
      <c r="H229" s="29">
        <v>60637.5</v>
      </c>
      <c r="I229" s="28">
        <f t="shared" si="6"/>
        <v>60637.5</v>
      </c>
    </row>
    <row r="230" spans="1:9" x14ac:dyDescent="0.3">
      <c r="A230" s="30">
        <v>221</v>
      </c>
      <c r="B230" s="30"/>
      <c r="C230" s="33" t="s">
        <v>522</v>
      </c>
      <c r="D230" s="30" t="s">
        <v>88</v>
      </c>
      <c r="E230" s="30">
        <v>2</v>
      </c>
      <c r="F230" s="26"/>
      <c r="G230" s="30">
        <f t="shared" si="7"/>
        <v>2</v>
      </c>
      <c r="H230" s="29">
        <v>79625</v>
      </c>
      <c r="I230" s="28">
        <f t="shared" si="6"/>
        <v>159250</v>
      </c>
    </row>
    <row r="231" spans="1:9" x14ac:dyDescent="0.3">
      <c r="A231" s="30">
        <v>222</v>
      </c>
      <c r="B231" s="30"/>
      <c r="C231" s="33" t="s">
        <v>521</v>
      </c>
      <c r="D231" s="30" t="s">
        <v>88</v>
      </c>
      <c r="E231" s="30">
        <v>4</v>
      </c>
      <c r="F231" s="26"/>
      <c r="G231" s="30">
        <f t="shared" si="7"/>
        <v>4</v>
      </c>
      <c r="H231" s="29">
        <v>58320</v>
      </c>
      <c r="I231" s="28">
        <f t="shared" si="6"/>
        <v>233280</v>
      </c>
    </row>
    <row r="232" spans="1:9" x14ac:dyDescent="0.3">
      <c r="A232" s="30">
        <v>223</v>
      </c>
      <c r="B232" s="30"/>
      <c r="C232" s="33" t="s">
        <v>520</v>
      </c>
      <c r="D232" s="30" t="s">
        <v>88</v>
      </c>
      <c r="E232" s="30">
        <v>2</v>
      </c>
      <c r="F232" s="26"/>
      <c r="G232" s="30">
        <f t="shared" si="7"/>
        <v>2</v>
      </c>
      <c r="H232" s="29">
        <v>64225</v>
      </c>
      <c r="I232" s="28">
        <f t="shared" si="6"/>
        <v>128450</v>
      </c>
    </row>
    <row r="233" spans="1:9" x14ac:dyDescent="0.3">
      <c r="A233" s="30">
        <v>224</v>
      </c>
      <c r="B233" s="30"/>
      <c r="C233" s="33" t="s">
        <v>519</v>
      </c>
      <c r="D233" s="30" t="s">
        <v>88</v>
      </c>
      <c r="E233" s="30">
        <v>2</v>
      </c>
      <c r="F233" s="26"/>
      <c r="G233" s="30">
        <f t="shared" si="7"/>
        <v>2</v>
      </c>
      <c r="H233" s="29">
        <v>64225</v>
      </c>
      <c r="I233" s="28">
        <f t="shared" si="6"/>
        <v>128450</v>
      </c>
    </row>
    <row r="234" spans="1:9" x14ac:dyDescent="0.3">
      <c r="A234" s="30">
        <v>225</v>
      </c>
      <c r="B234" s="30"/>
      <c r="C234" s="33" t="s">
        <v>518</v>
      </c>
      <c r="D234" s="30" t="s">
        <v>88</v>
      </c>
      <c r="E234" s="30">
        <v>2</v>
      </c>
      <c r="F234" s="26"/>
      <c r="G234" s="30">
        <f t="shared" si="7"/>
        <v>2</v>
      </c>
      <c r="H234" s="29">
        <v>62125</v>
      </c>
      <c r="I234" s="28">
        <f t="shared" si="6"/>
        <v>124250</v>
      </c>
    </row>
    <row r="235" spans="1:9" x14ac:dyDescent="0.3">
      <c r="A235" s="30">
        <v>226</v>
      </c>
      <c r="B235" s="30"/>
      <c r="C235" s="33" t="s">
        <v>517</v>
      </c>
      <c r="D235" s="30" t="s">
        <v>88</v>
      </c>
      <c r="E235" s="30">
        <v>1</v>
      </c>
      <c r="F235" s="26"/>
      <c r="G235" s="30">
        <f t="shared" si="7"/>
        <v>1</v>
      </c>
      <c r="H235" s="29">
        <v>34912.5</v>
      </c>
      <c r="I235" s="28">
        <f t="shared" si="6"/>
        <v>34912.5</v>
      </c>
    </row>
    <row r="236" spans="1:9" x14ac:dyDescent="0.3">
      <c r="A236" s="30">
        <v>227</v>
      </c>
      <c r="B236" s="30"/>
      <c r="C236" s="33" t="s">
        <v>516</v>
      </c>
      <c r="D236" s="30" t="s">
        <v>88</v>
      </c>
      <c r="E236" s="30">
        <v>1</v>
      </c>
      <c r="F236" s="26"/>
      <c r="G236" s="30">
        <f t="shared" si="7"/>
        <v>1</v>
      </c>
      <c r="H236" s="29">
        <v>70000</v>
      </c>
      <c r="I236" s="28">
        <f t="shared" si="6"/>
        <v>70000</v>
      </c>
    </row>
    <row r="237" spans="1:9" x14ac:dyDescent="0.3">
      <c r="A237" s="30">
        <v>228</v>
      </c>
      <c r="B237" s="30"/>
      <c r="C237" s="33" t="s">
        <v>515</v>
      </c>
      <c r="D237" s="30" t="s">
        <v>88</v>
      </c>
      <c r="E237" s="30">
        <v>2</v>
      </c>
      <c r="F237" s="26"/>
      <c r="G237" s="30">
        <f t="shared" si="7"/>
        <v>2</v>
      </c>
      <c r="H237" s="29">
        <v>62125</v>
      </c>
      <c r="I237" s="28">
        <f t="shared" si="6"/>
        <v>124250</v>
      </c>
    </row>
    <row r="238" spans="1:9" x14ac:dyDescent="0.3">
      <c r="A238" s="30">
        <v>229</v>
      </c>
      <c r="B238" s="30"/>
      <c r="C238" s="33" t="s">
        <v>514</v>
      </c>
      <c r="D238" s="30" t="s">
        <v>88</v>
      </c>
      <c r="E238" s="30">
        <v>2</v>
      </c>
      <c r="F238" s="26"/>
      <c r="G238" s="30">
        <f t="shared" si="7"/>
        <v>2</v>
      </c>
      <c r="H238" s="29">
        <v>93100</v>
      </c>
      <c r="I238" s="28">
        <f t="shared" si="6"/>
        <v>186200</v>
      </c>
    </row>
    <row r="239" spans="1:9" x14ac:dyDescent="0.3">
      <c r="A239" s="30">
        <v>230</v>
      </c>
      <c r="B239" s="30"/>
      <c r="C239" s="33" t="s">
        <v>513</v>
      </c>
      <c r="D239" s="30" t="s">
        <v>88</v>
      </c>
      <c r="E239" s="30">
        <v>3</v>
      </c>
      <c r="F239" s="26"/>
      <c r="G239" s="30">
        <f t="shared" si="7"/>
        <v>3</v>
      </c>
      <c r="H239" s="29">
        <v>57600</v>
      </c>
      <c r="I239" s="28">
        <f t="shared" si="6"/>
        <v>172800</v>
      </c>
    </row>
    <row r="240" spans="1:9" x14ac:dyDescent="0.3">
      <c r="A240" s="30">
        <v>231</v>
      </c>
      <c r="B240" s="30"/>
      <c r="C240" s="33" t="s">
        <v>512</v>
      </c>
      <c r="D240" s="30" t="s">
        <v>88</v>
      </c>
      <c r="E240" s="30">
        <v>3</v>
      </c>
      <c r="F240" s="26"/>
      <c r="G240" s="30">
        <f t="shared" si="7"/>
        <v>3</v>
      </c>
      <c r="H240" s="29">
        <v>56721.599999999999</v>
      </c>
      <c r="I240" s="28">
        <f t="shared" si="6"/>
        <v>170164.8</v>
      </c>
    </row>
    <row r="241" spans="1:9" x14ac:dyDescent="0.3">
      <c r="A241" s="30">
        <v>232</v>
      </c>
      <c r="B241" s="30"/>
      <c r="C241" s="33" t="s">
        <v>511</v>
      </c>
      <c r="D241" s="30" t="s">
        <v>88</v>
      </c>
      <c r="E241" s="30">
        <v>3</v>
      </c>
      <c r="F241" s="26"/>
      <c r="G241" s="30">
        <f t="shared" si="7"/>
        <v>3</v>
      </c>
      <c r="H241" s="29">
        <v>59760</v>
      </c>
      <c r="I241" s="28">
        <f t="shared" si="6"/>
        <v>179280</v>
      </c>
    </row>
    <row r="242" spans="1:9" x14ac:dyDescent="0.3">
      <c r="A242" s="30">
        <v>233</v>
      </c>
      <c r="B242" s="30"/>
      <c r="C242" s="33" t="s">
        <v>510</v>
      </c>
      <c r="D242" s="30" t="s">
        <v>88</v>
      </c>
      <c r="E242" s="30">
        <v>2</v>
      </c>
      <c r="F242" s="26"/>
      <c r="G242" s="30">
        <f t="shared" si="7"/>
        <v>2</v>
      </c>
      <c r="H242" s="29">
        <v>106240</v>
      </c>
      <c r="I242" s="28">
        <f t="shared" si="6"/>
        <v>212480</v>
      </c>
    </row>
    <row r="243" spans="1:9" x14ac:dyDescent="0.3">
      <c r="A243" s="30">
        <v>234</v>
      </c>
      <c r="B243" s="30"/>
      <c r="C243" s="33" t="s">
        <v>509</v>
      </c>
      <c r="D243" s="30" t="s">
        <v>88</v>
      </c>
      <c r="E243" s="30">
        <v>7</v>
      </c>
      <c r="F243" s="26"/>
      <c r="G243" s="30">
        <f t="shared" si="7"/>
        <v>7</v>
      </c>
      <c r="H243" s="29">
        <v>86184</v>
      </c>
      <c r="I243" s="28">
        <f t="shared" si="6"/>
        <v>603288</v>
      </c>
    </row>
    <row r="244" spans="1:9" x14ac:dyDescent="0.3">
      <c r="A244" s="30">
        <v>235</v>
      </c>
      <c r="B244" s="30"/>
      <c r="C244" s="33" t="s">
        <v>508</v>
      </c>
      <c r="D244" s="30" t="s">
        <v>88</v>
      </c>
      <c r="E244" s="30">
        <v>3</v>
      </c>
      <c r="F244" s="26"/>
      <c r="G244" s="30">
        <f t="shared" si="7"/>
        <v>3</v>
      </c>
      <c r="H244" s="29">
        <v>36936</v>
      </c>
      <c r="I244" s="28">
        <f t="shared" si="6"/>
        <v>110808</v>
      </c>
    </row>
    <row r="245" spans="1:9" x14ac:dyDescent="0.3">
      <c r="A245" s="30">
        <v>236</v>
      </c>
      <c r="B245" s="30"/>
      <c r="C245" s="33" t="s">
        <v>507</v>
      </c>
      <c r="D245" s="30" t="s">
        <v>88</v>
      </c>
      <c r="E245" s="30">
        <v>2</v>
      </c>
      <c r="F245" s="26"/>
      <c r="G245" s="30">
        <f t="shared" si="7"/>
        <v>2</v>
      </c>
      <c r="H245" s="29">
        <v>65570</v>
      </c>
      <c r="I245" s="28">
        <f t="shared" si="6"/>
        <v>131140</v>
      </c>
    </row>
    <row r="246" spans="1:9" x14ac:dyDescent="0.3">
      <c r="A246" s="30">
        <v>237</v>
      </c>
      <c r="B246" s="30"/>
      <c r="C246" s="33" t="s">
        <v>506</v>
      </c>
      <c r="D246" s="30" t="s">
        <v>88</v>
      </c>
      <c r="E246" s="30">
        <v>2</v>
      </c>
      <c r="F246" s="26"/>
      <c r="G246" s="30">
        <f t="shared" si="7"/>
        <v>2</v>
      </c>
      <c r="H246" s="29">
        <v>37100</v>
      </c>
      <c r="I246" s="28">
        <f t="shared" si="6"/>
        <v>74200</v>
      </c>
    </row>
    <row r="247" spans="1:9" x14ac:dyDescent="0.3">
      <c r="A247" s="30">
        <v>238</v>
      </c>
      <c r="B247" s="30"/>
      <c r="C247" s="33" t="s">
        <v>505</v>
      </c>
      <c r="D247" s="30" t="s">
        <v>88</v>
      </c>
      <c r="E247" s="30">
        <v>3</v>
      </c>
      <c r="F247" s="26"/>
      <c r="G247" s="30">
        <f t="shared" si="7"/>
        <v>3</v>
      </c>
      <c r="H247" s="29">
        <v>55650</v>
      </c>
      <c r="I247" s="28">
        <f t="shared" si="6"/>
        <v>166950</v>
      </c>
    </row>
    <row r="248" spans="1:9" x14ac:dyDescent="0.3">
      <c r="A248" s="30">
        <v>239</v>
      </c>
      <c r="B248" s="30"/>
      <c r="C248" s="33" t="s">
        <v>504</v>
      </c>
      <c r="D248" s="30" t="s">
        <v>88</v>
      </c>
      <c r="E248" s="30">
        <v>3</v>
      </c>
      <c r="F248" s="26"/>
      <c r="G248" s="30">
        <f t="shared" si="7"/>
        <v>3</v>
      </c>
      <c r="H248" s="29">
        <v>55650</v>
      </c>
      <c r="I248" s="28">
        <f t="shared" si="6"/>
        <v>166950</v>
      </c>
    </row>
    <row r="249" spans="1:9" x14ac:dyDescent="0.3">
      <c r="A249" s="30">
        <v>240</v>
      </c>
      <c r="B249" s="30"/>
      <c r="C249" s="33" t="s">
        <v>501</v>
      </c>
      <c r="D249" s="30" t="s">
        <v>88</v>
      </c>
      <c r="E249" s="30">
        <v>2</v>
      </c>
      <c r="F249" s="26"/>
      <c r="G249" s="30">
        <f t="shared" si="7"/>
        <v>2</v>
      </c>
      <c r="H249" s="29">
        <v>119625</v>
      </c>
      <c r="I249" s="28">
        <f t="shared" si="6"/>
        <v>239250</v>
      </c>
    </row>
    <row r="250" spans="1:9" x14ac:dyDescent="0.3">
      <c r="A250" s="30">
        <v>241</v>
      </c>
      <c r="B250" s="30"/>
      <c r="C250" s="33" t="s">
        <v>503</v>
      </c>
      <c r="D250" s="30" t="s">
        <v>88</v>
      </c>
      <c r="E250" s="30">
        <v>1</v>
      </c>
      <c r="F250" s="26"/>
      <c r="G250" s="30">
        <f t="shared" si="7"/>
        <v>1</v>
      </c>
      <c r="H250" s="29">
        <v>31267.5</v>
      </c>
      <c r="I250" s="28">
        <f t="shared" si="6"/>
        <v>31267.5</v>
      </c>
    </row>
    <row r="251" spans="1:9" x14ac:dyDescent="0.3">
      <c r="A251" s="30">
        <v>242</v>
      </c>
      <c r="B251" s="30"/>
      <c r="C251" s="33" t="s">
        <v>502</v>
      </c>
      <c r="D251" s="30" t="s">
        <v>88</v>
      </c>
      <c r="E251" s="30">
        <v>1</v>
      </c>
      <c r="F251" s="26"/>
      <c r="G251" s="30">
        <f t="shared" si="7"/>
        <v>1</v>
      </c>
      <c r="H251" s="29">
        <v>31267.5</v>
      </c>
      <c r="I251" s="28">
        <f t="shared" si="6"/>
        <v>31267.5</v>
      </c>
    </row>
    <row r="252" spans="1:9" x14ac:dyDescent="0.3">
      <c r="A252" s="30">
        <v>243</v>
      </c>
      <c r="B252" s="30"/>
      <c r="C252" s="33" t="s">
        <v>501</v>
      </c>
      <c r="D252" s="30" t="s">
        <v>88</v>
      </c>
      <c r="E252" s="30">
        <v>1</v>
      </c>
      <c r="F252" s="26"/>
      <c r="G252" s="30">
        <f t="shared" si="7"/>
        <v>1</v>
      </c>
      <c r="H252" s="29">
        <v>59812.5</v>
      </c>
      <c r="I252" s="28">
        <f t="shared" si="6"/>
        <v>59812.5</v>
      </c>
    </row>
    <row r="253" spans="1:9" x14ac:dyDescent="0.3">
      <c r="A253" s="30">
        <v>244</v>
      </c>
      <c r="B253" s="30"/>
      <c r="C253" s="33" t="s">
        <v>496</v>
      </c>
      <c r="D253" s="30" t="s">
        <v>88</v>
      </c>
      <c r="E253" s="30">
        <v>1</v>
      </c>
      <c r="F253" s="26"/>
      <c r="G253" s="30">
        <f t="shared" si="7"/>
        <v>1</v>
      </c>
      <c r="H253" s="29">
        <v>39668</v>
      </c>
      <c r="I253" s="28">
        <f t="shared" si="6"/>
        <v>39668</v>
      </c>
    </row>
    <row r="254" spans="1:9" x14ac:dyDescent="0.3">
      <c r="A254" s="30">
        <v>245</v>
      </c>
      <c r="B254" s="30"/>
      <c r="C254" s="33" t="s">
        <v>500</v>
      </c>
      <c r="D254" s="30" t="s">
        <v>88</v>
      </c>
      <c r="E254" s="30">
        <v>4</v>
      </c>
      <c r="F254" s="26"/>
      <c r="G254" s="30">
        <f t="shared" si="7"/>
        <v>4</v>
      </c>
      <c r="H254" s="29">
        <v>99560</v>
      </c>
      <c r="I254" s="28">
        <f t="shared" si="6"/>
        <v>398240</v>
      </c>
    </row>
    <row r="255" spans="1:9" x14ac:dyDescent="0.3">
      <c r="A255" s="30">
        <v>246</v>
      </c>
      <c r="B255" s="30"/>
      <c r="C255" s="33" t="s">
        <v>499</v>
      </c>
      <c r="D255" s="30" t="s">
        <v>88</v>
      </c>
      <c r="E255" s="30">
        <v>1</v>
      </c>
      <c r="F255" s="26"/>
      <c r="G255" s="30">
        <f t="shared" si="7"/>
        <v>1</v>
      </c>
      <c r="H255" s="29">
        <v>30362</v>
      </c>
      <c r="I255" s="28">
        <f t="shared" si="6"/>
        <v>30362</v>
      </c>
    </row>
    <row r="256" spans="1:9" x14ac:dyDescent="0.3">
      <c r="A256" s="30">
        <v>247</v>
      </c>
      <c r="B256" s="30"/>
      <c r="C256" s="33" t="s">
        <v>498</v>
      </c>
      <c r="D256" s="30" t="s">
        <v>88</v>
      </c>
      <c r="E256" s="30">
        <v>1</v>
      </c>
      <c r="F256" s="26"/>
      <c r="G256" s="30">
        <f t="shared" si="7"/>
        <v>1</v>
      </c>
      <c r="H256" s="29">
        <v>26410</v>
      </c>
      <c r="I256" s="28">
        <f t="shared" si="6"/>
        <v>26410</v>
      </c>
    </row>
    <row r="257" spans="1:9" x14ac:dyDescent="0.3">
      <c r="A257" s="30">
        <v>248</v>
      </c>
      <c r="B257" s="30"/>
      <c r="C257" s="33" t="s">
        <v>497</v>
      </c>
      <c r="D257" s="30" t="s">
        <v>88</v>
      </c>
      <c r="E257" s="30">
        <v>2</v>
      </c>
      <c r="F257" s="26"/>
      <c r="G257" s="30">
        <f t="shared" si="7"/>
        <v>2</v>
      </c>
      <c r="H257" s="29">
        <v>51332</v>
      </c>
      <c r="I257" s="28">
        <f t="shared" si="6"/>
        <v>102664</v>
      </c>
    </row>
    <row r="258" spans="1:9" x14ac:dyDescent="0.3">
      <c r="A258" s="30">
        <v>249</v>
      </c>
      <c r="B258" s="30"/>
      <c r="C258" s="33" t="s">
        <v>496</v>
      </c>
      <c r="D258" s="30" t="s">
        <v>88</v>
      </c>
      <c r="E258" s="30">
        <v>1</v>
      </c>
      <c r="F258" s="26"/>
      <c r="G258" s="30">
        <f t="shared" si="7"/>
        <v>1</v>
      </c>
      <c r="H258" s="29">
        <v>39668</v>
      </c>
      <c r="I258" s="28">
        <f t="shared" si="6"/>
        <v>39668</v>
      </c>
    </row>
    <row r="259" spans="1:9" x14ac:dyDescent="0.3">
      <c r="A259" s="30">
        <v>250</v>
      </c>
      <c r="B259" s="30"/>
      <c r="C259" s="33" t="s">
        <v>495</v>
      </c>
      <c r="D259" s="30" t="s">
        <v>88</v>
      </c>
      <c r="E259" s="30">
        <v>1</v>
      </c>
      <c r="F259" s="26"/>
      <c r="G259" s="30">
        <f t="shared" si="7"/>
        <v>1</v>
      </c>
      <c r="H259" s="29">
        <v>30456</v>
      </c>
      <c r="I259" s="28">
        <f t="shared" si="6"/>
        <v>30456</v>
      </c>
    </row>
    <row r="260" spans="1:9" x14ac:dyDescent="0.3">
      <c r="A260" s="30">
        <v>251</v>
      </c>
      <c r="B260" s="30"/>
      <c r="C260" s="33" t="s">
        <v>494</v>
      </c>
      <c r="D260" s="30" t="s">
        <v>88</v>
      </c>
      <c r="E260" s="30">
        <v>1</v>
      </c>
      <c r="F260" s="26"/>
      <c r="G260" s="30">
        <f t="shared" si="7"/>
        <v>1</v>
      </c>
      <c r="H260" s="29">
        <v>30362</v>
      </c>
      <c r="I260" s="28">
        <f t="shared" si="6"/>
        <v>30362</v>
      </c>
    </row>
    <row r="261" spans="1:9" x14ac:dyDescent="0.3">
      <c r="A261" s="30">
        <v>252</v>
      </c>
      <c r="B261" s="30"/>
      <c r="C261" s="33" t="s">
        <v>493</v>
      </c>
      <c r="D261" s="30" t="s">
        <v>88</v>
      </c>
      <c r="E261" s="30">
        <v>3</v>
      </c>
      <c r="F261" s="26"/>
      <c r="G261" s="30">
        <f t="shared" si="7"/>
        <v>3</v>
      </c>
      <c r="H261" s="29">
        <v>79230</v>
      </c>
      <c r="I261" s="28">
        <f t="shared" si="6"/>
        <v>237690</v>
      </c>
    </row>
    <row r="262" spans="1:9" x14ac:dyDescent="0.3">
      <c r="A262" s="30">
        <v>253</v>
      </c>
      <c r="B262" s="30"/>
      <c r="C262" s="33" t="s">
        <v>492</v>
      </c>
      <c r="D262" s="30" t="s">
        <v>88</v>
      </c>
      <c r="E262" s="30">
        <v>3</v>
      </c>
      <c r="F262" s="26"/>
      <c r="G262" s="30">
        <f t="shared" si="7"/>
        <v>3</v>
      </c>
      <c r="H262" s="29">
        <v>91200</v>
      </c>
      <c r="I262" s="28">
        <f t="shared" si="6"/>
        <v>273600</v>
      </c>
    </row>
    <row r="263" spans="1:9" x14ac:dyDescent="0.3">
      <c r="A263" s="30">
        <v>254</v>
      </c>
      <c r="B263" s="30"/>
      <c r="C263" s="33" t="s">
        <v>491</v>
      </c>
      <c r="D263" s="30" t="s">
        <v>88</v>
      </c>
      <c r="E263" s="30">
        <v>2</v>
      </c>
      <c r="F263" s="26"/>
      <c r="G263" s="30">
        <f t="shared" si="7"/>
        <v>2</v>
      </c>
      <c r="H263" s="29">
        <v>30340</v>
      </c>
      <c r="I263" s="28">
        <f t="shared" si="6"/>
        <v>60680</v>
      </c>
    </row>
    <row r="264" spans="1:9" x14ac:dyDescent="0.3">
      <c r="A264" s="30">
        <v>255</v>
      </c>
      <c r="B264" s="30"/>
      <c r="C264" s="33" t="s">
        <v>490</v>
      </c>
      <c r="D264" s="30" t="s">
        <v>88</v>
      </c>
      <c r="E264" s="30">
        <v>2</v>
      </c>
      <c r="F264" s="26"/>
      <c r="G264" s="30">
        <f t="shared" si="7"/>
        <v>2</v>
      </c>
      <c r="H264" s="29">
        <v>27880</v>
      </c>
      <c r="I264" s="28">
        <f t="shared" si="6"/>
        <v>55760</v>
      </c>
    </row>
    <row r="265" spans="1:9" x14ac:dyDescent="0.3">
      <c r="A265" s="30">
        <v>256</v>
      </c>
      <c r="B265" s="30"/>
      <c r="C265" s="33" t="s">
        <v>489</v>
      </c>
      <c r="D265" s="30" t="s">
        <v>88</v>
      </c>
      <c r="E265" s="30">
        <v>4</v>
      </c>
      <c r="F265" s="26"/>
      <c r="G265" s="30">
        <f t="shared" si="7"/>
        <v>4</v>
      </c>
      <c r="H265" s="29">
        <v>174420</v>
      </c>
      <c r="I265" s="28">
        <f t="shared" si="6"/>
        <v>697680</v>
      </c>
    </row>
    <row r="266" spans="1:9" x14ac:dyDescent="0.3">
      <c r="A266" s="30">
        <v>257</v>
      </c>
      <c r="B266" s="30"/>
      <c r="C266" s="33" t="s">
        <v>488</v>
      </c>
      <c r="D266" s="30" t="s">
        <v>88</v>
      </c>
      <c r="E266" s="30">
        <v>20</v>
      </c>
      <c r="F266" s="26"/>
      <c r="G266" s="30">
        <f t="shared" si="7"/>
        <v>20</v>
      </c>
      <c r="H266" s="29">
        <v>82500</v>
      </c>
      <c r="I266" s="28">
        <f t="shared" ref="I266:I329" si="8">G266*H266</f>
        <v>1650000</v>
      </c>
    </row>
    <row r="267" spans="1:9" x14ac:dyDescent="0.3">
      <c r="A267" s="30">
        <v>258</v>
      </c>
      <c r="B267" s="30"/>
      <c r="C267" s="33" t="s">
        <v>487</v>
      </c>
      <c r="D267" s="30" t="s">
        <v>88</v>
      </c>
      <c r="E267" s="30">
        <v>2</v>
      </c>
      <c r="F267" s="26"/>
      <c r="G267" s="30">
        <f t="shared" ref="G267:G330" si="9">E267-F267</f>
        <v>2</v>
      </c>
      <c r="H267" s="29">
        <v>33128</v>
      </c>
      <c r="I267" s="28">
        <f t="shared" si="8"/>
        <v>66256</v>
      </c>
    </row>
    <row r="268" spans="1:9" x14ac:dyDescent="0.3">
      <c r="A268" s="30">
        <v>259</v>
      </c>
      <c r="B268" s="30"/>
      <c r="C268" s="33" t="s">
        <v>486</v>
      </c>
      <c r="D268" s="30" t="s">
        <v>88</v>
      </c>
      <c r="E268" s="30">
        <v>1</v>
      </c>
      <c r="F268" s="26"/>
      <c r="G268" s="30">
        <f t="shared" si="9"/>
        <v>1</v>
      </c>
      <c r="H268" s="29">
        <v>16564</v>
      </c>
      <c r="I268" s="28">
        <f t="shared" si="8"/>
        <v>16564</v>
      </c>
    </row>
    <row r="269" spans="1:9" x14ac:dyDescent="0.3">
      <c r="A269" s="30">
        <v>260</v>
      </c>
      <c r="B269" s="30"/>
      <c r="C269" s="33" t="s">
        <v>485</v>
      </c>
      <c r="D269" s="30" t="s">
        <v>88</v>
      </c>
      <c r="E269" s="30">
        <v>2</v>
      </c>
      <c r="F269" s="26"/>
      <c r="G269" s="30">
        <f t="shared" si="9"/>
        <v>2</v>
      </c>
      <c r="H269" s="29">
        <v>33128</v>
      </c>
      <c r="I269" s="28">
        <f t="shared" si="8"/>
        <v>66256</v>
      </c>
    </row>
    <row r="270" spans="1:9" x14ac:dyDescent="0.3">
      <c r="A270" s="30">
        <v>261</v>
      </c>
      <c r="B270" s="30"/>
      <c r="C270" s="33" t="s">
        <v>484</v>
      </c>
      <c r="D270" s="30" t="s">
        <v>88</v>
      </c>
      <c r="E270" s="30">
        <v>2</v>
      </c>
      <c r="F270" s="26"/>
      <c r="G270" s="30">
        <f t="shared" si="9"/>
        <v>2</v>
      </c>
      <c r="H270" s="29">
        <v>36900</v>
      </c>
      <c r="I270" s="28">
        <f t="shared" si="8"/>
        <v>73800</v>
      </c>
    </row>
    <row r="271" spans="1:9" x14ac:dyDescent="0.3">
      <c r="A271" s="30">
        <v>262</v>
      </c>
      <c r="B271" s="30"/>
      <c r="C271" s="33" t="s">
        <v>483</v>
      </c>
      <c r="D271" s="30" t="s">
        <v>88</v>
      </c>
      <c r="E271" s="30">
        <v>2</v>
      </c>
      <c r="F271" s="26"/>
      <c r="G271" s="30">
        <f t="shared" si="9"/>
        <v>2</v>
      </c>
      <c r="H271" s="29">
        <v>36900</v>
      </c>
      <c r="I271" s="28">
        <f t="shared" si="8"/>
        <v>73800</v>
      </c>
    </row>
    <row r="272" spans="1:9" x14ac:dyDescent="0.3">
      <c r="A272" s="30">
        <v>263</v>
      </c>
      <c r="B272" s="30"/>
      <c r="C272" s="33" t="s">
        <v>482</v>
      </c>
      <c r="D272" s="30" t="s">
        <v>88</v>
      </c>
      <c r="E272" s="30">
        <v>3</v>
      </c>
      <c r="F272" s="26"/>
      <c r="G272" s="30">
        <f t="shared" si="9"/>
        <v>3</v>
      </c>
      <c r="H272" s="29">
        <v>43290</v>
      </c>
      <c r="I272" s="28">
        <f t="shared" si="8"/>
        <v>129870</v>
      </c>
    </row>
    <row r="273" spans="1:9" x14ac:dyDescent="0.3">
      <c r="A273" s="30">
        <v>264</v>
      </c>
      <c r="B273" s="30"/>
      <c r="C273" s="33" t="s">
        <v>481</v>
      </c>
      <c r="D273" s="30" t="s">
        <v>88</v>
      </c>
      <c r="E273" s="30">
        <v>1</v>
      </c>
      <c r="F273" s="26"/>
      <c r="G273" s="30">
        <f t="shared" si="9"/>
        <v>1</v>
      </c>
      <c r="H273" s="29">
        <v>14000</v>
      </c>
      <c r="I273" s="28">
        <f t="shared" si="8"/>
        <v>14000</v>
      </c>
    </row>
    <row r="274" spans="1:9" x14ac:dyDescent="0.3">
      <c r="A274" s="30">
        <v>265</v>
      </c>
      <c r="B274" s="30"/>
      <c r="C274" s="33" t="s">
        <v>480</v>
      </c>
      <c r="D274" s="30" t="s">
        <v>88</v>
      </c>
      <c r="E274" s="30">
        <v>3</v>
      </c>
      <c r="F274" s="26"/>
      <c r="G274" s="30">
        <f t="shared" si="9"/>
        <v>3</v>
      </c>
      <c r="H274" s="29">
        <v>42000</v>
      </c>
      <c r="I274" s="28">
        <f t="shared" si="8"/>
        <v>126000</v>
      </c>
    </row>
    <row r="275" spans="1:9" x14ac:dyDescent="0.3">
      <c r="A275" s="30">
        <v>266</v>
      </c>
      <c r="B275" s="30"/>
      <c r="C275" s="33" t="s">
        <v>479</v>
      </c>
      <c r="D275" s="30" t="s">
        <v>88</v>
      </c>
      <c r="E275" s="30">
        <v>3</v>
      </c>
      <c r="F275" s="26"/>
      <c r="G275" s="30">
        <f t="shared" si="9"/>
        <v>3</v>
      </c>
      <c r="H275" s="29">
        <v>43290</v>
      </c>
      <c r="I275" s="28">
        <f t="shared" si="8"/>
        <v>129870</v>
      </c>
    </row>
    <row r="276" spans="1:9" x14ac:dyDescent="0.3">
      <c r="A276" s="30">
        <v>267</v>
      </c>
      <c r="B276" s="30"/>
      <c r="C276" s="33" t="s">
        <v>478</v>
      </c>
      <c r="D276" s="30" t="s">
        <v>88</v>
      </c>
      <c r="E276" s="30">
        <v>2</v>
      </c>
      <c r="F276" s="26"/>
      <c r="G276" s="30">
        <f t="shared" si="9"/>
        <v>2</v>
      </c>
      <c r="H276" s="29">
        <v>28860</v>
      </c>
      <c r="I276" s="28">
        <f t="shared" si="8"/>
        <v>57720</v>
      </c>
    </row>
    <row r="277" spans="1:9" x14ac:dyDescent="0.3">
      <c r="A277" s="30">
        <v>268</v>
      </c>
      <c r="B277" s="30"/>
      <c r="C277" s="33" t="s">
        <v>477</v>
      </c>
      <c r="D277" s="30" t="s">
        <v>88</v>
      </c>
      <c r="E277" s="30">
        <v>3</v>
      </c>
      <c r="F277" s="26"/>
      <c r="G277" s="30">
        <f t="shared" si="9"/>
        <v>3</v>
      </c>
      <c r="H277" s="29">
        <v>43290</v>
      </c>
      <c r="I277" s="28">
        <f t="shared" si="8"/>
        <v>129870</v>
      </c>
    </row>
    <row r="278" spans="1:9" x14ac:dyDescent="0.3">
      <c r="A278" s="30">
        <v>269</v>
      </c>
      <c r="B278" s="30"/>
      <c r="C278" s="33" t="s">
        <v>476</v>
      </c>
      <c r="D278" s="30" t="s">
        <v>88</v>
      </c>
      <c r="E278" s="30">
        <v>2</v>
      </c>
      <c r="F278" s="26"/>
      <c r="G278" s="30">
        <f t="shared" si="9"/>
        <v>2</v>
      </c>
      <c r="H278" s="29">
        <v>28860</v>
      </c>
      <c r="I278" s="28">
        <f t="shared" si="8"/>
        <v>57720</v>
      </c>
    </row>
    <row r="279" spans="1:9" x14ac:dyDescent="0.3">
      <c r="A279" s="30">
        <v>270</v>
      </c>
      <c r="B279" s="30"/>
      <c r="C279" s="33" t="s">
        <v>475</v>
      </c>
      <c r="D279" s="30" t="s">
        <v>88</v>
      </c>
      <c r="E279" s="30">
        <v>2</v>
      </c>
      <c r="F279" s="26"/>
      <c r="G279" s="30">
        <f t="shared" si="9"/>
        <v>2</v>
      </c>
      <c r="H279" s="29">
        <v>28860</v>
      </c>
      <c r="I279" s="28">
        <f t="shared" si="8"/>
        <v>57720</v>
      </c>
    </row>
    <row r="280" spans="1:9" x14ac:dyDescent="0.3">
      <c r="A280" s="30">
        <v>271</v>
      </c>
      <c r="B280" s="30"/>
      <c r="C280" s="33" t="s">
        <v>474</v>
      </c>
      <c r="D280" s="30" t="s">
        <v>88</v>
      </c>
      <c r="E280" s="30">
        <v>1</v>
      </c>
      <c r="F280" s="26"/>
      <c r="G280" s="30">
        <f t="shared" si="9"/>
        <v>1</v>
      </c>
      <c r="H280" s="29">
        <v>14430</v>
      </c>
      <c r="I280" s="28">
        <f t="shared" si="8"/>
        <v>14430</v>
      </c>
    </row>
    <row r="281" spans="1:9" x14ac:dyDescent="0.3">
      <c r="A281" s="30">
        <v>272</v>
      </c>
      <c r="B281" s="30"/>
      <c r="C281" s="33" t="s">
        <v>473</v>
      </c>
      <c r="D281" s="30" t="s">
        <v>88</v>
      </c>
      <c r="E281" s="30">
        <v>5</v>
      </c>
      <c r="F281" s="26"/>
      <c r="G281" s="30">
        <f t="shared" si="9"/>
        <v>5</v>
      </c>
      <c r="H281" s="29">
        <v>244475</v>
      </c>
      <c r="I281" s="28">
        <f t="shared" si="8"/>
        <v>1222375</v>
      </c>
    </row>
    <row r="282" spans="1:9" x14ac:dyDescent="0.3">
      <c r="A282" s="30">
        <v>273</v>
      </c>
      <c r="B282" s="30"/>
      <c r="C282" s="33" t="s">
        <v>472</v>
      </c>
      <c r="D282" s="30" t="s">
        <v>88</v>
      </c>
      <c r="E282" s="30">
        <v>5</v>
      </c>
      <c r="F282" s="26"/>
      <c r="G282" s="30">
        <f t="shared" si="9"/>
        <v>5</v>
      </c>
      <c r="H282" s="29">
        <v>244475</v>
      </c>
      <c r="I282" s="28">
        <f t="shared" si="8"/>
        <v>1222375</v>
      </c>
    </row>
    <row r="283" spans="1:9" x14ac:dyDescent="0.3">
      <c r="A283" s="30">
        <v>274</v>
      </c>
      <c r="B283" s="30"/>
      <c r="C283" s="33" t="s">
        <v>471</v>
      </c>
      <c r="D283" s="30" t="s">
        <v>88</v>
      </c>
      <c r="E283" s="30">
        <v>5</v>
      </c>
      <c r="F283" s="26"/>
      <c r="G283" s="30">
        <f t="shared" si="9"/>
        <v>5</v>
      </c>
      <c r="H283" s="29">
        <v>244475</v>
      </c>
      <c r="I283" s="28">
        <f t="shared" si="8"/>
        <v>1222375</v>
      </c>
    </row>
    <row r="284" spans="1:9" x14ac:dyDescent="0.3">
      <c r="A284" s="30">
        <v>275</v>
      </c>
      <c r="B284" s="30"/>
      <c r="C284" s="33" t="s">
        <v>470</v>
      </c>
      <c r="D284" s="30" t="s">
        <v>88</v>
      </c>
      <c r="E284" s="30">
        <v>5</v>
      </c>
      <c r="F284" s="26"/>
      <c r="G284" s="30">
        <f t="shared" si="9"/>
        <v>5</v>
      </c>
      <c r="H284" s="29">
        <v>244475</v>
      </c>
      <c r="I284" s="28">
        <f t="shared" si="8"/>
        <v>1222375</v>
      </c>
    </row>
    <row r="285" spans="1:9" x14ac:dyDescent="0.3">
      <c r="A285" s="30">
        <v>276</v>
      </c>
      <c r="B285" s="30"/>
      <c r="C285" s="33" t="s">
        <v>469</v>
      </c>
      <c r="D285" s="30" t="s">
        <v>88</v>
      </c>
      <c r="E285" s="30">
        <v>5</v>
      </c>
      <c r="F285" s="26"/>
      <c r="G285" s="30">
        <f t="shared" si="9"/>
        <v>5</v>
      </c>
      <c r="H285" s="29">
        <v>244475</v>
      </c>
      <c r="I285" s="28">
        <f t="shared" si="8"/>
        <v>1222375</v>
      </c>
    </row>
    <row r="286" spans="1:9" x14ac:dyDescent="0.3">
      <c r="A286" s="30">
        <v>277</v>
      </c>
      <c r="B286" s="30"/>
      <c r="C286" s="33" t="s">
        <v>468</v>
      </c>
      <c r="D286" s="30" t="s">
        <v>88</v>
      </c>
      <c r="E286" s="30">
        <v>5</v>
      </c>
      <c r="F286" s="26"/>
      <c r="G286" s="30">
        <f t="shared" si="9"/>
        <v>5</v>
      </c>
      <c r="H286" s="29">
        <v>244475</v>
      </c>
      <c r="I286" s="28">
        <f t="shared" si="8"/>
        <v>1222375</v>
      </c>
    </row>
    <row r="287" spans="1:9" x14ac:dyDescent="0.3">
      <c r="A287" s="30">
        <v>278</v>
      </c>
      <c r="B287" s="30"/>
      <c r="C287" s="33" t="s">
        <v>467</v>
      </c>
      <c r="D287" s="30" t="s">
        <v>88</v>
      </c>
      <c r="E287" s="30">
        <v>5</v>
      </c>
      <c r="F287" s="26"/>
      <c r="G287" s="30">
        <f t="shared" si="9"/>
        <v>5</v>
      </c>
      <c r="H287" s="29">
        <v>244475</v>
      </c>
      <c r="I287" s="28">
        <f t="shared" si="8"/>
        <v>1222375</v>
      </c>
    </row>
    <row r="288" spans="1:9" x14ac:dyDescent="0.3">
      <c r="A288" s="30">
        <v>279</v>
      </c>
      <c r="B288" s="30"/>
      <c r="C288" s="33" t="s">
        <v>466</v>
      </c>
      <c r="D288" s="30" t="s">
        <v>88</v>
      </c>
      <c r="E288" s="30">
        <v>2</v>
      </c>
      <c r="F288" s="26"/>
      <c r="G288" s="30">
        <f t="shared" si="9"/>
        <v>2</v>
      </c>
      <c r="H288" s="29">
        <v>124640</v>
      </c>
      <c r="I288" s="28">
        <f t="shared" si="8"/>
        <v>249280</v>
      </c>
    </row>
    <row r="289" spans="1:9" x14ac:dyDescent="0.3">
      <c r="A289" s="30">
        <v>280</v>
      </c>
      <c r="B289" s="30"/>
      <c r="C289" s="33" t="s">
        <v>465</v>
      </c>
      <c r="D289" s="30" t="s">
        <v>88</v>
      </c>
      <c r="E289" s="30">
        <v>2</v>
      </c>
      <c r="F289" s="26"/>
      <c r="G289" s="30">
        <f t="shared" si="9"/>
        <v>2</v>
      </c>
      <c r="H289" s="29">
        <v>124640</v>
      </c>
      <c r="I289" s="28">
        <f t="shared" si="8"/>
        <v>249280</v>
      </c>
    </row>
    <row r="290" spans="1:9" x14ac:dyDescent="0.3">
      <c r="A290" s="30">
        <v>281</v>
      </c>
      <c r="B290" s="30"/>
      <c r="C290" s="33" t="s">
        <v>464</v>
      </c>
      <c r="D290" s="30" t="s">
        <v>88</v>
      </c>
      <c r="E290" s="30">
        <v>2</v>
      </c>
      <c r="F290" s="26"/>
      <c r="G290" s="30">
        <f t="shared" si="9"/>
        <v>2</v>
      </c>
      <c r="H290" s="29">
        <v>52316</v>
      </c>
      <c r="I290" s="28">
        <f t="shared" si="8"/>
        <v>104632</v>
      </c>
    </row>
    <row r="291" spans="1:9" x14ac:dyDescent="0.3">
      <c r="A291" s="30">
        <v>282</v>
      </c>
      <c r="B291" s="30"/>
      <c r="C291" s="33" t="s">
        <v>463</v>
      </c>
      <c r="D291" s="30" t="s">
        <v>88</v>
      </c>
      <c r="E291" s="30">
        <v>2</v>
      </c>
      <c r="F291" s="26"/>
      <c r="G291" s="30">
        <f t="shared" si="9"/>
        <v>2</v>
      </c>
      <c r="H291" s="29">
        <v>52316</v>
      </c>
      <c r="I291" s="28">
        <f t="shared" si="8"/>
        <v>104632</v>
      </c>
    </row>
    <row r="292" spans="1:9" x14ac:dyDescent="0.3">
      <c r="A292" s="30">
        <v>283</v>
      </c>
      <c r="B292" s="30"/>
      <c r="C292" s="33" t="s">
        <v>462</v>
      </c>
      <c r="D292" s="30" t="s">
        <v>88</v>
      </c>
      <c r="E292" s="30">
        <v>3</v>
      </c>
      <c r="F292" s="26"/>
      <c r="G292" s="30">
        <f t="shared" si="9"/>
        <v>3</v>
      </c>
      <c r="H292" s="29">
        <v>81868.5</v>
      </c>
      <c r="I292" s="28">
        <f t="shared" si="8"/>
        <v>245605.5</v>
      </c>
    </row>
    <row r="293" spans="1:9" x14ac:dyDescent="0.3">
      <c r="A293" s="30">
        <v>284</v>
      </c>
      <c r="B293" s="30"/>
      <c r="C293" s="33" t="s">
        <v>461</v>
      </c>
      <c r="D293" s="30" t="s">
        <v>88</v>
      </c>
      <c r="E293" s="30">
        <v>3</v>
      </c>
      <c r="F293" s="26"/>
      <c r="G293" s="30">
        <f t="shared" si="9"/>
        <v>3</v>
      </c>
      <c r="H293" s="29">
        <v>77038.5</v>
      </c>
      <c r="I293" s="28">
        <f t="shared" si="8"/>
        <v>231115.5</v>
      </c>
    </row>
    <row r="294" spans="1:9" x14ac:dyDescent="0.3">
      <c r="A294" s="30">
        <v>285</v>
      </c>
      <c r="B294" s="30"/>
      <c r="C294" s="33" t="s">
        <v>460</v>
      </c>
      <c r="D294" s="30" t="s">
        <v>88</v>
      </c>
      <c r="E294" s="30">
        <v>4</v>
      </c>
      <c r="F294" s="26"/>
      <c r="G294" s="30">
        <f t="shared" si="9"/>
        <v>4</v>
      </c>
      <c r="H294" s="29">
        <v>195274.8</v>
      </c>
      <c r="I294" s="28">
        <f t="shared" si="8"/>
        <v>781099.2</v>
      </c>
    </row>
    <row r="295" spans="1:9" x14ac:dyDescent="0.3">
      <c r="A295" s="30">
        <v>286</v>
      </c>
      <c r="B295" s="30"/>
      <c r="C295" s="33" t="s">
        <v>459</v>
      </c>
      <c r="D295" s="30" t="s">
        <v>88</v>
      </c>
      <c r="E295" s="30">
        <v>3</v>
      </c>
      <c r="F295" s="26"/>
      <c r="G295" s="30">
        <f t="shared" si="9"/>
        <v>3</v>
      </c>
      <c r="H295" s="29">
        <v>89355</v>
      </c>
      <c r="I295" s="28">
        <f t="shared" si="8"/>
        <v>268065</v>
      </c>
    </row>
    <row r="296" spans="1:9" x14ac:dyDescent="0.3">
      <c r="A296" s="30">
        <v>287</v>
      </c>
      <c r="B296" s="30"/>
      <c r="C296" s="33" t="s">
        <v>458</v>
      </c>
      <c r="D296" s="30" t="s">
        <v>88</v>
      </c>
      <c r="E296" s="30">
        <v>3</v>
      </c>
      <c r="F296" s="26"/>
      <c r="G296" s="30">
        <f t="shared" si="9"/>
        <v>3</v>
      </c>
      <c r="H296" s="29">
        <v>89355</v>
      </c>
      <c r="I296" s="28">
        <f t="shared" si="8"/>
        <v>268065</v>
      </c>
    </row>
    <row r="297" spans="1:9" x14ac:dyDescent="0.3">
      <c r="A297" s="30">
        <v>288</v>
      </c>
      <c r="B297" s="30"/>
      <c r="C297" s="33" t="s">
        <v>457</v>
      </c>
      <c r="D297" s="30" t="s">
        <v>88</v>
      </c>
      <c r="E297" s="30">
        <v>3</v>
      </c>
      <c r="F297" s="26"/>
      <c r="G297" s="30">
        <f t="shared" si="9"/>
        <v>3</v>
      </c>
      <c r="H297" s="29">
        <v>129360</v>
      </c>
      <c r="I297" s="28">
        <f t="shared" si="8"/>
        <v>388080</v>
      </c>
    </row>
    <row r="298" spans="1:9" x14ac:dyDescent="0.3">
      <c r="A298" s="30">
        <v>289</v>
      </c>
      <c r="B298" s="30"/>
      <c r="C298" s="33" t="s">
        <v>456</v>
      </c>
      <c r="D298" s="30" t="s">
        <v>88</v>
      </c>
      <c r="E298" s="30">
        <v>2</v>
      </c>
      <c r="F298" s="26"/>
      <c r="G298" s="30">
        <f t="shared" si="9"/>
        <v>2</v>
      </c>
      <c r="H298" s="29">
        <v>63468</v>
      </c>
      <c r="I298" s="28">
        <f t="shared" si="8"/>
        <v>126936</v>
      </c>
    </row>
    <row r="299" spans="1:9" x14ac:dyDescent="0.3">
      <c r="A299" s="30">
        <v>290</v>
      </c>
      <c r="B299" s="30"/>
      <c r="C299" s="33" t="s">
        <v>455</v>
      </c>
      <c r="D299" s="30" t="s">
        <v>88</v>
      </c>
      <c r="E299" s="30">
        <v>2</v>
      </c>
      <c r="F299" s="26"/>
      <c r="G299" s="30">
        <f t="shared" si="9"/>
        <v>2</v>
      </c>
      <c r="H299" s="29">
        <v>63468</v>
      </c>
      <c r="I299" s="28">
        <f t="shared" si="8"/>
        <v>126936</v>
      </c>
    </row>
    <row r="300" spans="1:9" x14ac:dyDescent="0.3">
      <c r="A300" s="30">
        <v>291</v>
      </c>
      <c r="B300" s="30"/>
      <c r="C300" s="33" t="s">
        <v>454</v>
      </c>
      <c r="D300" s="30" t="s">
        <v>88</v>
      </c>
      <c r="E300" s="30">
        <v>3</v>
      </c>
      <c r="F300" s="26"/>
      <c r="G300" s="30">
        <f t="shared" si="9"/>
        <v>3</v>
      </c>
      <c r="H300" s="29">
        <v>82005</v>
      </c>
      <c r="I300" s="28">
        <f t="shared" si="8"/>
        <v>246015</v>
      </c>
    </row>
    <row r="301" spans="1:9" x14ac:dyDescent="0.3">
      <c r="A301" s="30">
        <v>292</v>
      </c>
      <c r="B301" s="30"/>
      <c r="C301" s="33" t="s">
        <v>453</v>
      </c>
      <c r="D301" s="30" t="s">
        <v>88</v>
      </c>
      <c r="E301" s="30">
        <v>2</v>
      </c>
      <c r="F301" s="26"/>
      <c r="G301" s="30">
        <f t="shared" si="9"/>
        <v>2</v>
      </c>
      <c r="H301" s="29">
        <v>54670</v>
      </c>
      <c r="I301" s="28">
        <f t="shared" si="8"/>
        <v>109340</v>
      </c>
    </row>
    <row r="302" spans="1:9" x14ac:dyDescent="0.3">
      <c r="A302" s="30">
        <v>293</v>
      </c>
      <c r="B302" s="30"/>
      <c r="C302" s="33" t="s">
        <v>452</v>
      </c>
      <c r="D302" s="30" t="s">
        <v>88</v>
      </c>
      <c r="E302" s="30">
        <v>2</v>
      </c>
      <c r="F302" s="26"/>
      <c r="G302" s="30">
        <f t="shared" si="9"/>
        <v>2</v>
      </c>
      <c r="H302" s="29">
        <v>58900</v>
      </c>
      <c r="I302" s="28">
        <f t="shared" si="8"/>
        <v>117800</v>
      </c>
    </row>
    <row r="303" spans="1:9" x14ac:dyDescent="0.3">
      <c r="A303" s="30">
        <v>294</v>
      </c>
      <c r="B303" s="30"/>
      <c r="C303" s="33" t="s">
        <v>451</v>
      </c>
      <c r="D303" s="30" t="s">
        <v>88</v>
      </c>
      <c r="E303" s="30">
        <v>2</v>
      </c>
      <c r="F303" s="26"/>
      <c r="G303" s="30">
        <f t="shared" si="9"/>
        <v>2</v>
      </c>
      <c r="H303" s="29">
        <v>58900</v>
      </c>
      <c r="I303" s="28">
        <f t="shared" si="8"/>
        <v>117800</v>
      </c>
    </row>
    <row r="304" spans="1:9" x14ac:dyDescent="0.3">
      <c r="A304" s="30">
        <v>295</v>
      </c>
      <c r="B304" s="30"/>
      <c r="C304" s="33" t="s">
        <v>450</v>
      </c>
      <c r="D304" s="30" t="s">
        <v>88</v>
      </c>
      <c r="E304" s="30">
        <v>2</v>
      </c>
      <c r="F304" s="26"/>
      <c r="G304" s="30">
        <f t="shared" si="9"/>
        <v>2</v>
      </c>
      <c r="H304" s="29">
        <v>58900</v>
      </c>
      <c r="I304" s="28">
        <f t="shared" si="8"/>
        <v>117800</v>
      </c>
    </row>
    <row r="305" spans="1:9" x14ac:dyDescent="0.3">
      <c r="A305" s="30">
        <v>296</v>
      </c>
      <c r="B305" s="30"/>
      <c r="C305" s="33" t="s">
        <v>449</v>
      </c>
      <c r="D305" s="30" t="s">
        <v>88</v>
      </c>
      <c r="E305" s="30">
        <v>3</v>
      </c>
      <c r="F305" s="26"/>
      <c r="G305" s="30">
        <f t="shared" si="9"/>
        <v>3</v>
      </c>
      <c r="H305" s="29">
        <v>73530</v>
      </c>
      <c r="I305" s="28">
        <f t="shared" si="8"/>
        <v>220590</v>
      </c>
    </row>
    <row r="306" spans="1:9" x14ac:dyDescent="0.3">
      <c r="A306" s="30">
        <v>297</v>
      </c>
      <c r="B306" s="30"/>
      <c r="C306" s="33" t="s">
        <v>448</v>
      </c>
      <c r="D306" s="30" t="s">
        <v>88</v>
      </c>
      <c r="E306" s="30">
        <v>2</v>
      </c>
      <c r="F306" s="26"/>
      <c r="G306" s="30">
        <f t="shared" si="9"/>
        <v>2</v>
      </c>
      <c r="H306" s="29">
        <v>81120</v>
      </c>
      <c r="I306" s="28">
        <f t="shared" si="8"/>
        <v>162240</v>
      </c>
    </row>
    <row r="307" spans="1:9" x14ac:dyDescent="0.3">
      <c r="A307" s="30">
        <v>298</v>
      </c>
      <c r="B307" s="30"/>
      <c r="C307" s="33" t="s">
        <v>447</v>
      </c>
      <c r="D307" s="30" t="s">
        <v>88</v>
      </c>
      <c r="E307" s="30">
        <v>2</v>
      </c>
      <c r="F307" s="26"/>
      <c r="G307" s="30">
        <f t="shared" si="9"/>
        <v>2</v>
      </c>
      <c r="H307" s="29">
        <v>27300</v>
      </c>
      <c r="I307" s="28">
        <f t="shared" si="8"/>
        <v>54600</v>
      </c>
    </row>
    <row r="308" spans="1:9" x14ac:dyDescent="0.3">
      <c r="A308" s="30">
        <v>299</v>
      </c>
      <c r="B308" s="30"/>
      <c r="C308" s="33" t="s">
        <v>446</v>
      </c>
      <c r="D308" s="30" t="s">
        <v>88</v>
      </c>
      <c r="E308" s="30">
        <v>4</v>
      </c>
      <c r="F308" s="26"/>
      <c r="G308" s="30">
        <f t="shared" si="9"/>
        <v>4</v>
      </c>
      <c r="H308" s="29">
        <v>96720</v>
      </c>
      <c r="I308" s="28">
        <f t="shared" si="8"/>
        <v>386880</v>
      </c>
    </row>
    <row r="309" spans="1:9" x14ac:dyDescent="0.3">
      <c r="A309" s="30">
        <v>300</v>
      </c>
      <c r="B309" s="30"/>
      <c r="C309" s="33" t="s">
        <v>445</v>
      </c>
      <c r="D309" s="30" t="s">
        <v>88</v>
      </c>
      <c r="E309" s="30">
        <v>2</v>
      </c>
      <c r="F309" s="26"/>
      <c r="G309" s="30">
        <f t="shared" si="9"/>
        <v>2</v>
      </c>
      <c r="H309" s="29">
        <v>60060</v>
      </c>
      <c r="I309" s="28">
        <f t="shared" si="8"/>
        <v>120120</v>
      </c>
    </row>
    <row r="310" spans="1:9" x14ac:dyDescent="0.3">
      <c r="A310" s="30">
        <v>301</v>
      </c>
      <c r="B310" s="30"/>
      <c r="C310" s="33" t="s">
        <v>444</v>
      </c>
      <c r="D310" s="30" t="s">
        <v>88</v>
      </c>
      <c r="E310" s="30">
        <v>2</v>
      </c>
      <c r="F310" s="26"/>
      <c r="G310" s="30">
        <f t="shared" si="9"/>
        <v>2</v>
      </c>
      <c r="H310" s="29">
        <v>16150</v>
      </c>
      <c r="I310" s="28">
        <f t="shared" si="8"/>
        <v>32300</v>
      </c>
    </row>
    <row r="311" spans="1:9" x14ac:dyDescent="0.3">
      <c r="A311" s="30">
        <v>302</v>
      </c>
      <c r="B311" s="30"/>
      <c r="C311" s="33" t="s">
        <v>443</v>
      </c>
      <c r="D311" s="30" t="s">
        <v>88</v>
      </c>
      <c r="E311" s="30">
        <v>2</v>
      </c>
      <c r="F311" s="26"/>
      <c r="G311" s="30">
        <f t="shared" si="9"/>
        <v>2</v>
      </c>
      <c r="H311" s="29">
        <v>20330</v>
      </c>
      <c r="I311" s="28">
        <f t="shared" si="8"/>
        <v>40660</v>
      </c>
    </row>
    <row r="312" spans="1:9" x14ac:dyDescent="0.3">
      <c r="A312" s="30">
        <v>303</v>
      </c>
      <c r="B312" s="30"/>
      <c r="C312" s="33" t="s">
        <v>442</v>
      </c>
      <c r="D312" s="30" t="s">
        <v>88</v>
      </c>
      <c r="E312" s="30">
        <v>2</v>
      </c>
      <c r="F312" s="26"/>
      <c r="G312" s="30">
        <f t="shared" si="9"/>
        <v>2</v>
      </c>
      <c r="H312" s="29">
        <v>20330</v>
      </c>
      <c r="I312" s="28">
        <f t="shared" si="8"/>
        <v>40660</v>
      </c>
    </row>
    <row r="313" spans="1:9" x14ac:dyDescent="0.3">
      <c r="A313" s="30">
        <v>304</v>
      </c>
      <c r="B313" s="30"/>
      <c r="C313" s="33" t="s">
        <v>441</v>
      </c>
      <c r="D313" s="30" t="s">
        <v>88</v>
      </c>
      <c r="E313" s="30">
        <v>2</v>
      </c>
      <c r="F313" s="26"/>
      <c r="G313" s="30">
        <f t="shared" si="9"/>
        <v>2</v>
      </c>
      <c r="H313" s="29">
        <v>60060</v>
      </c>
      <c r="I313" s="28">
        <f t="shared" si="8"/>
        <v>120120</v>
      </c>
    </row>
    <row r="314" spans="1:9" x14ac:dyDescent="0.3">
      <c r="A314" s="30">
        <v>305</v>
      </c>
      <c r="B314" s="30"/>
      <c r="C314" s="33" t="s">
        <v>440</v>
      </c>
      <c r="D314" s="30" t="s">
        <v>88</v>
      </c>
      <c r="E314" s="30">
        <v>2</v>
      </c>
      <c r="F314" s="26"/>
      <c r="G314" s="30">
        <f t="shared" si="9"/>
        <v>2</v>
      </c>
      <c r="H314" s="29">
        <v>173740</v>
      </c>
      <c r="I314" s="28">
        <f t="shared" si="8"/>
        <v>347480</v>
      </c>
    </row>
    <row r="315" spans="1:9" x14ac:dyDescent="0.3">
      <c r="A315" s="30">
        <v>306</v>
      </c>
      <c r="B315" s="30"/>
      <c r="C315" s="33" t="s">
        <v>439</v>
      </c>
      <c r="D315" s="30" t="s">
        <v>88</v>
      </c>
      <c r="E315" s="30">
        <v>2</v>
      </c>
      <c r="F315" s="26"/>
      <c r="G315" s="30">
        <f t="shared" si="9"/>
        <v>2</v>
      </c>
      <c r="H315" s="29">
        <v>202940</v>
      </c>
      <c r="I315" s="28">
        <f t="shared" si="8"/>
        <v>405880</v>
      </c>
    </row>
    <row r="316" spans="1:9" x14ac:dyDescent="0.3">
      <c r="A316" s="30">
        <v>307</v>
      </c>
      <c r="B316" s="30"/>
      <c r="C316" s="33" t="s">
        <v>438</v>
      </c>
      <c r="D316" s="30" t="s">
        <v>88</v>
      </c>
      <c r="E316" s="30">
        <v>4</v>
      </c>
      <c r="F316" s="26"/>
      <c r="G316" s="30">
        <f t="shared" si="9"/>
        <v>4</v>
      </c>
      <c r="H316" s="29">
        <v>259880</v>
      </c>
      <c r="I316" s="28">
        <f t="shared" si="8"/>
        <v>1039520</v>
      </c>
    </row>
    <row r="317" spans="1:9" x14ac:dyDescent="0.3">
      <c r="A317" s="30">
        <v>308</v>
      </c>
      <c r="B317" s="30"/>
      <c r="C317" s="33" t="s">
        <v>437</v>
      </c>
      <c r="D317" s="30" t="s">
        <v>88</v>
      </c>
      <c r="E317" s="30">
        <v>5</v>
      </c>
      <c r="F317" s="26"/>
      <c r="G317" s="30">
        <f t="shared" si="9"/>
        <v>5</v>
      </c>
      <c r="H317" s="29">
        <v>31875</v>
      </c>
      <c r="I317" s="28">
        <f t="shared" si="8"/>
        <v>159375</v>
      </c>
    </row>
    <row r="318" spans="1:9" x14ac:dyDescent="0.3">
      <c r="A318" s="30">
        <v>309</v>
      </c>
      <c r="B318" s="30"/>
      <c r="C318" s="33" t="s">
        <v>436</v>
      </c>
      <c r="D318" s="30" t="s">
        <v>88</v>
      </c>
      <c r="E318" s="30">
        <v>5</v>
      </c>
      <c r="F318" s="26"/>
      <c r="G318" s="30">
        <f t="shared" si="9"/>
        <v>5</v>
      </c>
      <c r="H318" s="29">
        <v>24375</v>
      </c>
      <c r="I318" s="28">
        <f t="shared" si="8"/>
        <v>121875</v>
      </c>
    </row>
    <row r="319" spans="1:9" x14ac:dyDescent="0.3">
      <c r="A319" s="30">
        <v>310</v>
      </c>
      <c r="B319" s="30"/>
      <c r="C319" s="33" t="s">
        <v>435</v>
      </c>
      <c r="D319" s="30" t="s">
        <v>88</v>
      </c>
      <c r="E319" s="30">
        <v>12</v>
      </c>
      <c r="F319" s="26"/>
      <c r="G319" s="30">
        <f t="shared" si="9"/>
        <v>12</v>
      </c>
      <c r="H319" s="29">
        <v>266760</v>
      </c>
      <c r="I319" s="28">
        <f t="shared" si="8"/>
        <v>3201120</v>
      </c>
    </row>
    <row r="320" spans="1:9" x14ac:dyDescent="0.3">
      <c r="A320" s="30">
        <v>311</v>
      </c>
      <c r="B320" s="30"/>
      <c r="C320" s="33" t="s">
        <v>434</v>
      </c>
      <c r="D320" s="30" t="s">
        <v>88</v>
      </c>
      <c r="E320" s="30">
        <v>6</v>
      </c>
      <c r="F320" s="26"/>
      <c r="G320" s="30">
        <f t="shared" si="9"/>
        <v>6</v>
      </c>
      <c r="H320" s="29">
        <v>184860</v>
      </c>
      <c r="I320" s="28">
        <f t="shared" si="8"/>
        <v>1109160</v>
      </c>
    </row>
    <row r="321" spans="1:9" x14ac:dyDescent="0.3">
      <c r="A321" s="30">
        <v>312</v>
      </c>
      <c r="B321" s="30"/>
      <c r="C321" s="33" t="s">
        <v>433</v>
      </c>
      <c r="D321" s="30" t="s">
        <v>88</v>
      </c>
      <c r="E321" s="30">
        <v>6</v>
      </c>
      <c r="F321" s="26"/>
      <c r="G321" s="30">
        <f t="shared" si="9"/>
        <v>6</v>
      </c>
      <c r="H321" s="29">
        <v>224640</v>
      </c>
      <c r="I321" s="28">
        <f t="shared" si="8"/>
        <v>1347840</v>
      </c>
    </row>
    <row r="322" spans="1:9" x14ac:dyDescent="0.3">
      <c r="A322" s="30">
        <v>313</v>
      </c>
      <c r="B322" s="30"/>
      <c r="C322" s="33" t="s">
        <v>432</v>
      </c>
      <c r="D322" s="30" t="s">
        <v>88</v>
      </c>
      <c r="E322" s="30">
        <v>6</v>
      </c>
      <c r="F322" s="26"/>
      <c r="G322" s="30">
        <f t="shared" si="9"/>
        <v>6</v>
      </c>
      <c r="H322" s="29">
        <v>224640</v>
      </c>
      <c r="I322" s="28">
        <f t="shared" si="8"/>
        <v>1347840</v>
      </c>
    </row>
    <row r="323" spans="1:9" x14ac:dyDescent="0.3">
      <c r="A323" s="30">
        <v>314</v>
      </c>
      <c r="B323" s="30"/>
      <c r="C323" s="33" t="s">
        <v>431</v>
      </c>
      <c r="D323" s="30" t="s">
        <v>88</v>
      </c>
      <c r="E323" s="30">
        <v>6</v>
      </c>
      <c r="F323" s="26"/>
      <c r="G323" s="30">
        <f t="shared" si="9"/>
        <v>6</v>
      </c>
      <c r="H323" s="29">
        <v>224640</v>
      </c>
      <c r="I323" s="28">
        <f t="shared" si="8"/>
        <v>1347840</v>
      </c>
    </row>
    <row r="324" spans="1:9" x14ac:dyDescent="0.3">
      <c r="A324" s="30">
        <v>315</v>
      </c>
      <c r="B324" s="30"/>
      <c r="C324" s="33" t="s">
        <v>430</v>
      </c>
      <c r="D324" s="30" t="s">
        <v>88</v>
      </c>
      <c r="E324" s="30">
        <v>4</v>
      </c>
      <c r="F324" s="26"/>
      <c r="G324" s="30">
        <f t="shared" si="9"/>
        <v>4</v>
      </c>
      <c r="H324" s="29">
        <v>149760</v>
      </c>
      <c r="I324" s="28">
        <f t="shared" si="8"/>
        <v>599040</v>
      </c>
    </row>
    <row r="325" spans="1:9" x14ac:dyDescent="0.3">
      <c r="A325" s="30">
        <v>316</v>
      </c>
      <c r="B325" s="30"/>
      <c r="C325" s="33" t="s">
        <v>429</v>
      </c>
      <c r="D325" s="30" t="s">
        <v>88</v>
      </c>
      <c r="E325" s="30">
        <v>6</v>
      </c>
      <c r="F325" s="26"/>
      <c r="G325" s="30">
        <f t="shared" si="9"/>
        <v>6</v>
      </c>
      <c r="H325" s="29">
        <v>224640</v>
      </c>
      <c r="I325" s="28">
        <f t="shared" si="8"/>
        <v>1347840</v>
      </c>
    </row>
    <row r="326" spans="1:9" x14ac:dyDescent="0.3">
      <c r="A326" s="30">
        <v>317</v>
      </c>
      <c r="B326" s="30"/>
      <c r="C326" s="33" t="s">
        <v>428</v>
      </c>
      <c r="D326" s="30" t="s">
        <v>88</v>
      </c>
      <c r="E326" s="30">
        <v>6</v>
      </c>
      <c r="F326" s="26"/>
      <c r="G326" s="30">
        <f t="shared" si="9"/>
        <v>6</v>
      </c>
      <c r="H326" s="29">
        <v>224640</v>
      </c>
      <c r="I326" s="28">
        <f t="shared" si="8"/>
        <v>1347840</v>
      </c>
    </row>
    <row r="327" spans="1:9" x14ac:dyDescent="0.3">
      <c r="A327" s="30">
        <v>318</v>
      </c>
      <c r="B327" s="30"/>
      <c r="C327" s="35" t="s">
        <v>427</v>
      </c>
      <c r="D327" s="30" t="s">
        <v>88</v>
      </c>
      <c r="E327" s="30">
        <v>11</v>
      </c>
      <c r="F327" s="26"/>
      <c r="G327" s="30">
        <f t="shared" si="9"/>
        <v>11</v>
      </c>
      <c r="H327" s="29">
        <v>509850</v>
      </c>
      <c r="I327" s="28">
        <f t="shared" si="8"/>
        <v>5608350</v>
      </c>
    </row>
    <row r="328" spans="1:9" x14ac:dyDescent="0.3">
      <c r="A328" s="30">
        <v>319</v>
      </c>
      <c r="B328" s="30"/>
      <c r="C328" s="33" t="s">
        <v>426</v>
      </c>
      <c r="D328" s="30" t="s">
        <v>88</v>
      </c>
      <c r="E328" s="30">
        <v>11</v>
      </c>
      <c r="F328" s="26"/>
      <c r="G328" s="30">
        <f t="shared" si="9"/>
        <v>11</v>
      </c>
      <c r="H328" s="29">
        <v>509850</v>
      </c>
      <c r="I328" s="28">
        <f t="shared" si="8"/>
        <v>5608350</v>
      </c>
    </row>
    <row r="329" spans="1:9" x14ac:dyDescent="0.3">
      <c r="A329" s="30">
        <v>320</v>
      </c>
      <c r="B329" s="30"/>
      <c r="C329" s="33" t="s">
        <v>425</v>
      </c>
      <c r="D329" s="30" t="s">
        <v>88</v>
      </c>
      <c r="E329" s="30">
        <v>6</v>
      </c>
      <c r="F329" s="26"/>
      <c r="G329" s="30">
        <f t="shared" si="9"/>
        <v>6</v>
      </c>
      <c r="H329" s="29">
        <v>278100</v>
      </c>
      <c r="I329" s="28">
        <f t="shared" si="8"/>
        <v>1668600</v>
      </c>
    </row>
    <row r="330" spans="1:9" x14ac:dyDescent="0.3">
      <c r="A330" s="30">
        <v>321</v>
      </c>
      <c r="B330" s="30"/>
      <c r="C330" s="33" t="s">
        <v>424</v>
      </c>
      <c r="D330" s="30" t="s">
        <v>88</v>
      </c>
      <c r="E330" s="30">
        <v>3</v>
      </c>
      <c r="F330" s="26"/>
      <c r="G330" s="30">
        <f t="shared" si="9"/>
        <v>3</v>
      </c>
      <c r="H330" s="29">
        <v>75000</v>
      </c>
      <c r="I330" s="28">
        <f t="shared" ref="I330:I393" si="10">G330*H330</f>
        <v>225000</v>
      </c>
    </row>
    <row r="331" spans="1:9" x14ac:dyDescent="0.3">
      <c r="A331" s="30">
        <v>322</v>
      </c>
      <c r="B331" s="30"/>
      <c r="C331" s="33" t="s">
        <v>423</v>
      </c>
      <c r="D331" s="30" t="s">
        <v>88</v>
      </c>
      <c r="E331" s="30">
        <v>3</v>
      </c>
      <c r="F331" s="26"/>
      <c r="G331" s="30">
        <f t="shared" ref="G331:G394" si="11">E331-F331</f>
        <v>3</v>
      </c>
      <c r="H331" s="29">
        <v>75000</v>
      </c>
      <c r="I331" s="28">
        <f t="shared" si="10"/>
        <v>225000</v>
      </c>
    </row>
    <row r="332" spans="1:9" x14ac:dyDescent="0.3">
      <c r="A332" s="30">
        <v>323</v>
      </c>
      <c r="B332" s="30"/>
      <c r="C332" s="33" t="s">
        <v>422</v>
      </c>
      <c r="D332" s="30" t="s">
        <v>88</v>
      </c>
      <c r="E332" s="30">
        <v>3</v>
      </c>
      <c r="F332" s="26"/>
      <c r="G332" s="30">
        <f t="shared" si="11"/>
        <v>3</v>
      </c>
      <c r="H332" s="29">
        <v>51000</v>
      </c>
      <c r="I332" s="28">
        <f t="shared" si="10"/>
        <v>153000</v>
      </c>
    </row>
    <row r="333" spans="1:9" x14ac:dyDescent="0.3">
      <c r="A333" s="30">
        <v>324</v>
      </c>
      <c r="B333" s="30"/>
      <c r="C333" s="33" t="s">
        <v>421</v>
      </c>
      <c r="D333" s="30" t="s">
        <v>88</v>
      </c>
      <c r="E333" s="30">
        <v>18</v>
      </c>
      <c r="F333" s="26"/>
      <c r="G333" s="30">
        <f t="shared" si="11"/>
        <v>18</v>
      </c>
      <c r="H333" s="29">
        <v>189000</v>
      </c>
      <c r="I333" s="28">
        <f t="shared" si="10"/>
        <v>3402000</v>
      </c>
    </row>
    <row r="334" spans="1:9" x14ac:dyDescent="0.3">
      <c r="A334" s="30">
        <v>325</v>
      </c>
      <c r="B334" s="30"/>
      <c r="C334" s="33" t="s">
        <v>420</v>
      </c>
      <c r="D334" s="30" t="s">
        <v>88</v>
      </c>
      <c r="E334" s="30">
        <v>6</v>
      </c>
      <c r="F334" s="26"/>
      <c r="G334" s="30">
        <f t="shared" si="11"/>
        <v>6</v>
      </c>
      <c r="H334" s="29">
        <v>60000</v>
      </c>
      <c r="I334" s="28">
        <f t="shared" si="10"/>
        <v>360000</v>
      </c>
    </row>
    <row r="335" spans="1:9" x14ac:dyDescent="0.3">
      <c r="A335" s="30">
        <v>326</v>
      </c>
      <c r="B335" s="30"/>
      <c r="C335" s="33" t="s">
        <v>419</v>
      </c>
      <c r="D335" s="30" t="s">
        <v>88</v>
      </c>
      <c r="E335" s="30">
        <v>6</v>
      </c>
      <c r="F335" s="26"/>
      <c r="G335" s="30">
        <f t="shared" si="11"/>
        <v>6</v>
      </c>
      <c r="H335" s="29">
        <v>60000</v>
      </c>
      <c r="I335" s="28">
        <f t="shared" si="10"/>
        <v>360000</v>
      </c>
    </row>
    <row r="336" spans="1:9" x14ac:dyDescent="0.3">
      <c r="A336" s="30">
        <v>327</v>
      </c>
      <c r="B336" s="30"/>
      <c r="C336" s="33" t="s">
        <v>418</v>
      </c>
      <c r="D336" s="30" t="s">
        <v>88</v>
      </c>
      <c r="E336" s="30">
        <v>1</v>
      </c>
      <c r="F336" s="26"/>
      <c r="G336" s="30">
        <f t="shared" si="11"/>
        <v>1</v>
      </c>
      <c r="H336" s="29">
        <v>24000</v>
      </c>
      <c r="I336" s="28">
        <f t="shared" si="10"/>
        <v>24000</v>
      </c>
    </row>
    <row r="337" spans="1:9" x14ac:dyDescent="0.3">
      <c r="A337" s="30">
        <v>328</v>
      </c>
      <c r="B337" s="30"/>
      <c r="C337" s="33" t="s">
        <v>417</v>
      </c>
      <c r="D337" s="30" t="s">
        <v>88</v>
      </c>
      <c r="E337" s="30">
        <v>12</v>
      </c>
      <c r="F337" s="26"/>
      <c r="G337" s="30">
        <f t="shared" si="11"/>
        <v>12</v>
      </c>
      <c r="H337" s="29">
        <v>48000</v>
      </c>
      <c r="I337" s="28">
        <f t="shared" si="10"/>
        <v>576000</v>
      </c>
    </row>
    <row r="338" spans="1:9" x14ac:dyDescent="0.3">
      <c r="A338" s="30">
        <v>329</v>
      </c>
      <c r="B338" s="30"/>
      <c r="C338" s="33" t="s">
        <v>416</v>
      </c>
      <c r="D338" s="30" t="s">
        <v>88</v>
      </c>
      <c r="E338" s="30">
        <v>6</v>
      </c>
      <c r="F338" s="26"/>
      <c r="G338" s="30">
        <f t="shared" si="11"/>
        <v>6</v>
      </c>
      <c r="H338" s="29">
        <v>30000</v>
      </c>
      <c r="I338" s="28">
        <f t="shared" si="10"/>
        <v>180000</v>
      </c>
    </row>
    <row r="339" spans="1:9" x14ac:dyDescent="0.3">
      <c r="A339" s="30">
        <v>330</v>
      </c>
      <c r="B339" s="30"/>
      <c r="C339" s="33" t="s">
        <v>415</v>
      </c>
      <c r="D339" s="30" t="s">
        <v>88</v>
      </c>
      <c r="E339" s="30">
        <v>6</v>
      </c>
      <c r="F339" s="26"/>
      <c r="G339" s="30">
        <f t="shared" si="11"/>
        <v>6</v>
      </c>
      <c r="H339" s="29">
        <v>18000</v>
      </c>
      <c r="I339" s="28">
        <f t="shared" si="10"/>
        <v>108000</v>
      </c>
    </row>
    <row r="340" spans="1:9" x14ac:dyDescent="0.3">
      <c r="A340" s="30">
        <v>331</v>
      </c>
      <c r="B340" s="30"/>
      <c r="C340" s="33" t="s">
        <v>414</v>
      </c>
      <c r="D340" s="30" t="s">
        <v>88</v>
      </c>
      <c r="E340" s="30">
        <v>4</v>
      </c>
      <c r="F340" s="26"/>
      <c r="G340" s="30">
        <f t="shared" si="11"/>
        <v>4</v>
      </c>
      <c r="H340" s="29">
        <v>190000</v>
      </c>
      <c r="I340" s="28">
        <f t="shared" si="10"/>
        <v>760000</v>
      </c>
    </row>
    <row r="341" spans="1:9" x14ac:dyDescent="0.3">
      <c r="A341" s="30">
        <v>332</v>
      </c>
      <c r="B341" s="30"/>
      <c r="C341" s="33" t="s">
        <v>413</v>
      </c>
      <c r="D341" s="30" t="s">
        <v>88</v>
      </c>
      <c r="E341" s="30">
        <v>2</v>
      </c>
      <c r="F341" s="26"/>
      <c r="G341" s="30">
        <f t="shared" si="11"/>
        <v>2</v>
      </c>
      <c r="H341" s="29">
        <v>95040</v>
      </c>
      <c r="I341" s="28">
        <f t="shared" si="10"/>
        <v>190080</v>
      </c>
    </row>
    <row r="342" spans="1:9" x14ac:dyDescent="0.3">
      <c r="A342" s="30">
        <v>333</v>
      </c>
      <c r="B342" s="30"/>
      <c r="C342" s="33" t="s">
        <v>412</v>
      </c>
      <c r="D342" s="30" t="s">
        <v>88</v>
      </c>
      <c r="E342" s="30">
        <v>4</v>
      </c>
      <c r="F342" s="26"/>
      <c r="G342" s="30">
        <f t="shared" si="11"/>
        <v>4</v>
      </c>
      <c r="H342" s="29">
        <v>336270</v>
      </c>
      <c r="I342" s="28">
        <f t="shared" si="10"/>
        <v>1345080</v>
      </c>
    </row>
    <row r="343" spans="1:9" x14ac:dyDescent="0.3">
      <c r="A343" s="30">
        <v>334</v>
      </c>
      <c r="B343" s="30"/>
      <c r="C343" s="33" t="s">
        <v>411</v>
      </c>
      <c r="D343" s="30" t="s">
        <v>88</v>
      </c>
      <c r="E343" s="30">
        <v>4</v>
      </c>
      <c r="F343" s="26"/>
      <c r="G343" s="30">
        <f t="shared" si="11"/>
        <v>4</v>
      </c>
      <c r="H343" s="29">
        <v>138000</v>
      </c>
      <c r="I343" s="28">
        <f t="shared" si="10"/>
        <v>552000</v>
      </c>
    </row>
    <row r="344" spans="1:9" x14ac:dyDescent="0.3">
      <c r="A344" s="30">
        <v>335</v>
      </c>
      <c r="B344" s="30"/>
      <c r="C344" s="33" t="s">
        <v>410</v>
      </c>
      <c r="D344" s="30" t="s">
        <v>88</v>
      </c>
      <c r="E344" s="30">
        <v>3</v>
      </c>
      <c r="F344" s="26"/>
      <c r="G344" s="30">
        <f t="shared" si="11"/>
        <v>3</v>
      </c>
      <c r="H344" s="29">
        <v>103500</v>
      </c>
      <c r="I344" s="28">
        <f t="shared" si="10"/>
        <v>310500</v>
      </c>
    </row>
    <row r="345" spans="1:9" x14ac:dyDescent="0.3">
      <c r="A345" s="30">
        <v>336</v>
      </c>
      <c r="B345" s="30"/>
      <c r="C345" s="33" t="s">
        <v>409</v>
      </c>
      <c r="D345" s="30" t="s">
        <v>88</v>
      </c>
      <c r="E345" s="30">
        <v>1</v>
      </c>
      <c r="F345" s="26"/>
      <c r="G345" s="30">
        <f t="shared" si="11"/>
        <v>1</v>
      </c>
      <c r="H345" s="29">
        <v>14258.5</v>
      </c>
      <c r="I345" s="28">
        <f t="shared" si="10"/>
        <v>14258.5</v>
      </c>
    </row>
    <row r="346" spans="1:9" x14ac:dyDescent="0.3">
      <c r="A346" s="30">
        <v>337</v>
      </c>
      <c r="B346" s="30"/>
      <c r="C346" s="33" t="s">
        <v>408</v>
      </c>
      <c r="D346" s="30" t="s">
        <v>88</v>
      </c>
      <c r="E346" s="30">
        <v>1</v>
      </c>
      <c r="F346" s="26"/>
      <c r="G346" s="30">
        <f t="shared" si="11"/>
        <v>1</v>
      </c>
      <c r="H346" s="29">
        <v>14300</v>
      </c>
      <c r="I346" s="28">
        <f t="shared" si="10"/>
        <v>14300</v>
      </c>
    </row>
    <row r="347" spans="1:9" x14ac:dyDescent="0.3">
      <c r="A347" s="30">
        <v>338</v>
      </c>
      <c r="B347" s="30"/>
      <c r="C347" s="33" t="s">
        <v>407</v>
      </c>
      <c r="D347" s="30" t="s">
        <v>88</v>
      </c>
      <c r="E347" s="30">
        <v>1</v>
      </c>
      <c r="F347" s="26"/>
      <c r="G347" s="30">
        <f t="shared" si="11"/>
        <v>1</v>
      </c>
      <c r="H347" s="29">
        <v>14300</v>
      </c>
      <c r="I347" s="28">
        <f t="shared" si="10"/>
        <v>14300</v>
      </c>
    </row>
    <row r="348" spans="1:9" x14ac:dyDescent="0.3">
      <c r="A348" s="30">
        <v>339</v>
      </c>
      <c r="B348" s="30"/>
      <c r="C348" s="33" t="s">
        <v>406</v>
      </c>
      <c r="D348" s="30" t="s">
        <v>88</v>
      </c>
      <c r="E348" s="30">
        <v>3</v>
      </c>
      <c r="F348" s="26"/>
      <c r="G348" s="30">
        <f t="shared" si="11"/>
        <v>3</v>
      </c>
      <c r="H348" s="29">
        <v>18900</v>
      </c>
      <c r="I348" s="28">
        <f t="shared" si="10"/>
        <v>56700</v>
      </c>
    </row>
    <row r="349" spans="1:9" x14ac:dyDescent="0.3">
      <c r="A349" s="30">
        <v>340</v>
      </c>
      <c r="B349" s="30"/>
      <c r="C349" s="33" t="s">
        <v>405</v>
      </c>
      <c r="D349" s="30" t="s">
        <v>88</v>
      </c>
      <c r="E349" s="30">
        <v>2</v>
      </c>
      <c r="F349" s="26"/>
      <c r="G349" s="30">
        <f t="shared" si="11"/>
        <v>2</v>
      </c>
      <c r="H349" s="29">
        <v>16200</v>
      </c>
      <c r="I349" s="28">
        <f t="shared" si="10"/>
        <v>32400</v>
      </c>
    </row>
    <row r="350" spans="1:9" x14ac:dyDescent="0.3">
      <c r="A350" s="30">
        <v>341</v>
      </c>
      <c r="B350" s="30"/>
      <c r="C350" s="33" t="s">
        <v>404</v>
      </c>
      <c r="D350" s="30" t="s">
        <v>88</v>
      </c>
      <c r="E350" s="30">
        <v>1</v>
      </c>
      <c r="F350" s="26"/>
      <c r="G350" s="30">
        <f t="shared" si="11"/>
        <v>1</v>
      </c>
      <c r="H350" s="29">
        <v>8100</v>
      </c>
      <c r="I350" s="28">
        <f t="shared" si="10"/>
        <v>8100</v>
      </c>
    </row>
    <row r="351" spans="1:9" x14ac:dyDescent="0.3">
      <c r="A351" s="30">
        <v>342</v>
      </c>
      <c r="B351" s="30"/>
      <c r="C351" s="33" t="s">
        <v>403</v>
      </c>
      <c r="D351" s="30" t="s">
        <v>88</v>
      </c>
      <c r="E351" s="30">
        <v>6</v>
      </c>
      <c r="F351" s="26"/>
      <c r="G351" s="30">
        <f t="shared" si="11"/>
        <v>6</v>
      </c>
      <c r="H351" s="29">
        <v>29700</v>
      </c>
      <c r="I351" s="28">
        <f t="shared" si="10"/>
        <v>178200</v>
      </c>
    </row>
    <row r="352" spans="1:9" x14ac:dyDescent="0.3">
      <c r="A352" s="30">
        <v>343</v>
      </c>
      <c r="B352" s="30"/>
      <c r="C352" s="33" t="s">
        <v>402</v>
      </c>
      <c r="D352" s="30" t="s">
        <v>88</v>
      </c>
      <c r="E352" s="30">
        <v>6</v>
      </c>
      <c r="F352" s="26"/>
      <c r="G352" s="30">
        <f t="shared" si="11"/>
        <v>6</v>
      </c>
      <c r="H352" s="29">
        <v>29700</v>
      </c>
      <c r="I352" s="28">
        <f t="shared" si="10"/>
        <v>178200</v>
      </c>
    </row>
    <row r="353" spans="1:9" x14ac:dyDescent="0.3">
      <c r="A353" s="30">
        <v>344</v>
      </c>
      <c r="B353" s="30"/>
      <c r="C353" s="33" t="s">
        <v>401</v>
      </c>
      <c r="D353" s="30" t="s">
        <v>88</v>
      </c>
      <c r="E353" s="30">
        <v>3</v>
      </c>
      <c r="F353" s="26"/>
      <c r="G353" s="30">
        <f t="shared" si="11"/>
        <v>3</v>
      </c>
      <c r="H353" s="29">
        <v>63495</v>
      </c>
      <c r="I353" s="28">
        <f t="shared" si="10"/>
        <v>190485</v>
      </c>
    </row>
    <row r="354" spans="1:9" x14ac:dyDescent="0.3">
      <c r="A354" s="30">
        <v>345</v>
      </c>
      <c r="B354" s="30"/>
      <c r="C354" s="33" t="s">
        <v>400</v>
      </c>
      <c r="D354" s="30" t="s">
        <v>88</v>
      </c>
      <c r="E354" s="30">
        <v>3</v>
      </c>
      <c r="F354" s="26"/>
      <c r="G354" s="30">
        <f t="shared" si="11"/>
        <v>3</v>
      </c>
      <c r="H354" s="29">
        <v>63495</v>
      </c>
      <c r="I354" s="28">
        <f t="shared" si="10"/>
        <v>190485</v>
      </c>
    </row>
    <row r="355" spans="1:9" x14ac:dyDescent="0.3">
      <c r="A355" s="30">
        <v>346</v>
      </c>
      <c r="B355" s="30"/>
      <c r="C355" s="33" t="s">
        <v>399</v>
      </c>
      <c r="D355" s="30" t="s">
        <v>88</v>
      </c>
      <c r="E355" s="30">
        <v>4</v>
      </c>
      <c r="F355" s="26"/>
      <c r="G355" s="30">
        <f t="shared" si="11"/>
        <v>4</v>
      </c>
      <c r="H355" s="29">
        <v>92820</v>
      </c>
      <c r="I355" s="28">
        <f t="shared" si="10"/>
        <v>371280</v>
      </c>
    </row>
    <row r="356" spans="1:9" x14ac:dyDescent="0.3">
      <c r="A356" s="30">
        <v>347</v>
      </c>
      <c r="B356" s="30"/>
      <c r="C356" s="33" t="s">
        <v>398</v>
      </c>
      <c r="D356" s="30" t="s">
        <v>88</v>
      </c>
      <c r="E356" s="30">
        <v>4</v>
      </c>
      <c r="F356" s="26"/>
      <c r="G356" s="30">
        <f t="shared" si="11"/>
        <v>4</v>
      </c>
      <c r="H356" s="29">
        <v>110520</v>
      </c>
      <c r="I356" s="28">
        <f t="shared" si="10"/>
        <v>442080</v>
      </c>
    </row>
    <row r="357" spans="1:9" x14ac:dyDescent="0.3">
      <c r="A357" s="30">
        <v>348</v>
      </c>
      <c r="B357" s="30"/>
      <c r="C357" s="33" t="s">
        <v>397</v>
      </c>
      <c r="D357" s="30" t="s">
        <v>88</v>
      </c>
      <c r="E357" s="30">
        <v>4</v>
      </c>
      <c r="F357" s="26"/>
      <c r="G357" s="30">
        <f t="shared" si="11"/>
        <v>4</v>
      </c>
      <c r="H357" s="29">
        <v>63656</v>
      </c>
      <c r="I357" s="28">
        <f t="shared" si="10"/>
        <v>254624</v>
      </c>
    </row>
    <row r="358" spans="1:9" x14ac:dyDescent="0.3">
      <c r="A358" s="30">
        <v>349</v>
      </c>
      <c r="B358" s="30"/>
      <c r="C358" s="33" t="s">
        <v>396</v>
      </c>
      <c r="D358" s="30" t="s">
        <v>88</v>
      </c>
      <c r="E358" s="30">
        <v>3</v>
      </c>
      <c r="F358" s="26"/>
      <c r="G358" s="30">
        <f t="shared" si="11"/>
        <v>3</v>
      </c>
      <c r="H358" s="29">
        <v>143640</v>
      </c>
      <c r="I358" s="28">
        <f t="shared" si="10"/>
        <v>430920</v>
      </c>
    </row>
    <row r="359" spans="1:9" x14ac:dyDescent="0.3">
      <c r="A359" s="30">
        <v>350</v>
      </c>
      <c r="B359" s="30"/>
      <c r="C359" s="33" t="s">
        <v>395</v>
      </c>
      <c r="D359" s="30" t="s">
        <v>88</v>
      </c>
      <c r="E359" s="30">
        <v>2</v>
      </c>
      <c r="F359" s="26"/>
      <c r="G359" s="30">
        <f t="shared" si="11"/>
        <v>2</v>
      </c>
      <c r="H359" s="29">
        <v>165600</v>
      </c>
      <c r="I359" s="28">
        <f t="shared" si="10"/>
        <v>331200</v>
      </c>
    </row>
    <row r="360" spans="1:9" x14ac:dyDescent="0.3">
      <c r="A360" s="30">
        <v>351</v>
      </c>
      <c r="B360" s="30"/>
      <c r="C360" s="33" t="s">
        <v>394</v>
      </c>
      <c r="D360" s="30" t="s">
        <v>88</v>
      </c>
      <c r="E360" s="30">
        <v>1</v>
      </c>
      <c r="F360" s="26"/>
      <c r="G360" s="30">
        <f t="shared" si="11"/>
        <v>1</v>
      </c>
      <c r="H360" s="29">
        <v>33030</v>
      </c>
      <c r="I360" s="28">
        <f t="shared" si="10"/>
        <v>33030</v>
      </c>
    </row>
    <row r="361" spans="1:9" x14ac:dyDescent="0.3">
      <c r="A361" s="30">
        <v>352</v>
      </c>
      <c r="B361" s="30"/>
      <c r="C361" s="33" t="s">
        <v>393</v>
      </c>
      <c r="D361" s="30" t="s">
        <v>88</v>
      </c>
      <c r="E361" s="30">
        <v>1</v>
      </c>
      <c r="F361" s="26"/>
      <c r="G361" s="30">
        <f t="shared" si="11"/>
        <v>1</v>
      </c>
      <c r="H361" s="29">
        <v>33030</v>
      </c>
      <c r="I361" s="28">
        <f t="shared" si="10"/>
        <v>33030</v>
      </c>
    </row>
    <row r="362" spans="1:9" x14ac:dyDescent="0.3">
      <c r="A362" s="30">
        <v>353</v>
      </c>
      <c r="B362" s="30"/>
      <c r="C362" s="33" t="s">
        <v>392</v>
      </c>
      <c r="D362" s="30" t="s">
        <v>88</v>
      </c>
      <c r="E362" s="30">
        <v>1</v>
      </c>
      <c r="F362" s="26"/>
      <c r="G362" s="30">
        <f t="shared" si="11"/>
        <v>1</v>
      </c>
      <c r="H362" s="29">
        <v>31950</v>
      </c>
      <c r="I362" s="28">
        <f t="shared" si="10"/>
        <v>31950</v>
      </c>
    </row>
    <row r="363" spans="1:9" x14ac:dyDescent="0.3">
      <c r="A363" s="30">
        <v>354</v>
      </c>
      <c r="B363" s="30"/>
      <c r="C363" s="33" t="s">
        <v>391</v>
      </c>
      <c r="D363" s="30" t="s">
        <v>88</v>
      </c>
      <c r="E363" s="30">
        <v>1</v>
      </c>
      <c r="F363" s="26"/>
      <c r="G363" s="30">
        <f t="shared" si="11"/>
        <v>1</v>
      </c>
      <c r="H363" s="29">
        <v>31950</v>
      </c>
      <c r="I363" s="28">
        <f t="shared" si="10"/>
        <v>31950</v>
      </c>
    </row>
    <row r="364" spans="1:9" x14ac:dyDescent="0.3">
      <c r="A364" s="30">
        <v>355</v>
      </c>
      <c r="B364" s="30"/>
      <c r="C364" s="33" t="s">
        <v>390</v>
      </c>
      <c r="D364" s="30" t="s">
        <v>88</v>
      </c>
      <c r="E364" s="30">
        <v>1</v>
      </c>
      <c r="F364" s="26"/>
      <c r="G364" s="30">
        <f t="shared" si="11"/>
        <v>1</v>
      </c>
      <c r="H364" s="29">
        <v>49000</v>
      </c>
      <c r="I364" s="28">
        <f t="shared" si="10"/>
        <v>49000</v>
      </c>
    </row>
    <row r="365" spans="1:9" x14ac:dyDescent="0.3">
      <c r="A365" s="30">
        <v>356</v>
      </c>
      <c r="B365" s="30"/>
      <c r="C365" s="33" t="s">
        <v>389</v>
      </c>
      <c r="D365" s="30" t="s">
        <v>88</v>
      </c>
      <c r="E365" s="30">
        <v>1</v>
      </c>
      <c r="F365" s="26"/>
      <c r="G365" s="30">
        <f t="shared" si="11"/>
        <v>1</v>
      </c>
      <c r="H365" s="29">
        <v>49000</v>
      </c>
      <c r="I365" s="28">
        <f t="shared" si="10"/>
        <v>49000</v>
      </c>
    </row>
    <row r="366" spans="1:9" x14ac:dyDescent="0.3">
      <c r="A366" s="30">
        <v>357</v>
      </c>
      <c r="B366" s="30"/>
      <c r="C366" s="33" t="s">
        <v>388</v>
      </c>
      <c r="D366" s="30" t="s">
        <v>88</v>
      </c>
      <c r="E366" s="30">
        <v>1</v>
      </c>
      <c r="F366" s="26"/>
      <c r="G366" s="30">
        <f t="shared" si="11"/>
        <v>1</v>
      </c>
      <c r="H366" s="29">
        <v>49000</v>
      </c>
      <c r="I366" s="28">
        <f t="shared" si="10"/>
        <v>49000</v>
      </c>
    </row>
    <row r="367" spans="1:9" x14ac:dyDescent="0.3">
      <c r="A367" s="30">
        <v>358</v>
      </c>
      <c r="B367" s="30"/>
      <c r="C367" s="33" t="s">
        <v>387</v>
      </c>
      <c r="D367" s="30" t="s">
        <v>88</v>
      </c>
      <c r="E367" s="30">
        <v>2</v>
      </c>
      <c r="F367" s="26"/>
      <c r="G367" s="30">
        <f t="shared" si="11"/>
        <v>2</v>
      </c>
      <c r="H367" s="29">
        <v>98000</v>
      </c>
      <c r="I367" s="28">
        <f t="shared" si="10"/>
        <v>196000</v>
      </c>
    </row>
    <row r="368" spans="1:9" x14ac:dyDescent="0.3">
      <c r="A368" s="30">
        <v>359</v>
      </c>
      <c r="B368" s="30"/>
      <c r="C368" s="33" t="s">
        <v>386</v>
      </c>
      <c r="D368" s="30" t="s">
        <v>88</v>
      </c>
      <c r="E368" s="30">
        <v>1</v>
      </c>
      <c r="F368" s="26"/>
      <c r="G368" s="30">
        <f t="shared" si="11"/>
        <v>1</v>
      </c>
      <c r="H368" s="29">
        <v>49000</v>
      </c>
      <c r="I368" s="28">
        <f t="shared" si="10"/>
        <v>49000</v>
      </c>
    </row>
    <row r="369" spans="1:9" x14ac:dyDescent="0.3">
      <c r="A369" s="30">
        <v>360</v>
      </c>
      <c r="B369" s="30"/>
      <c r="C369" s="33" t="s">
        <v>385</v>
      </c>
      <c r="D369" s="30" t="s">
        <v>88</v>
      </c>
      <c r="E369" s="30">
        <v>2</v>
      </c>
      <c r="F369" s="26"/>
      <c r="G369" s="30">
        <f t="shared" si="11"/>
        <v>2</v>
      </c>
      <c r="H369" s="29">
        <v>98000</v>
      </c>
      <c r="I369" s="28">
        <f t="shared" si="10"/>
        <v>196000</v>
      </c>
    </row>
    <row r="370" spans="1:9" x14ac:dyDescent="0.3">
      <c r="A370" s="30">
        <v>361</v>
      </c>
      <c r="B370" s="30"/>
      <c r="C370" s="33" t="s">
        <v>384</v>
      </c>
      <c r="D370" s="30" t="s">
        <v>88</v>
      </c>
      <c r="E370" s="30">
        <v>2</v>
      </c>
      <c r="F370" s="26"/>
      <c r="G370" s="30">
        <f t="shared" si="11"/>
        <v>2</v>
      </c>
      <c r="H370" s="29">
        <v>23750</v>
      </c>
      <c r="I370" s="28">
        <f t="shared" si="10"/>
        <v>47500</v>
      </c>
    </row>
    <row r="371" spans="1:9" x14ac:dyDescent="0.3">
      <c r="A371" s="30">
        <v>362</v>
      </c>
      <c r="B371" s="30"/>
      <c r="C371" s="33" t="s">
        <v>383</v>
      </c>
      <c r="D371" s="30" t="s">
        <v>88</v>
      </c>
      <c r="E371" s="30">
        <v>2</v>
      </c>
      <c r="F371" s="26"/>
      <c r="G371" s="30">
        <f t="shared" si="11"/>
        <v>2</v>
      </c>
      <c r="H371" s="29">
        <v>31500</v>
      </c>
      <c r="I371" s="28">
        <f t="shared" si="10"/>
        <v>63000</v>
      </c>
    </row>
    <row r="372" spans="1:9" x14ac:dyDescent="0.3">
      <c r="A372" s="30">
        <v>363</v>
      </c>
      <c r="B372" s="30"/>
      <c r="C372" s="33" t="s">
        <v>382</v>
      </c>
      <c r="D372" s="30" t="s">
        <v>88</v>
      </c>
      <c r="E372" s="30">
        <v>3</v>
      </c>
      <c r="F372" s="26"/>
      <c r="G372" s="30">
        <f t="shared" si="11"/>
        <v>3</v>
      </c>
      <c r="H372" s="29">
        <v>135000</v>
      </c>
      <c r="I372" s="28">
        <f t="shared" si="10"/>
        <v>405000</v>
      </c>
    </row>
    <row r="373" spans="1:9" x14ac:dyDescent="0.3">
      <c r="A373" s="30">
        <v>364</v>
      </c>
      <c r="B373" s="30"/>
      <c r="C373" s="33" t="s">
        <v>381</v>
      </c>
      <c r="D373" s="30" t="s">
        <v>88</v>
      </c>
      <c r="E373" s="30">
        <v>3</v>
      </c>
      <c r="F373" s="26"/>
      <c r="G373" s="30">
        <f t="shared" si="11"/>
        <v>3</v>
      </c>
      <c r="H373" s="29">
        <v>56697.3</v>
      </c>
      <c r="I373" s="28">
        <f t="shared" si="10"/>
        <v>170091.90000000002</v>
      </c>
    </row>
    <row r="374" spans="1:9" x14ac:dyDescent="0.3">
      <c r="A374" s="30">
        <v>365</v>
      </c>
      <c r="B374" s="30"/>
      <c r="C374" s="33" t="s">
        <v>380</v>
      </c>
      <c r="D374" s="30" t="s">
        <v>88</v>
      </c>
      <c r="E374" s="30">
        <v>4</v>
      </c>
      <c r="F374" s="26"/>
      <c r="G374" s="30">
        <f t="shared" si="11"/>
        <v>4</v>
      </c>
      <c r="H374" s="29">
        <v>70200</v>
      </c>
      <c r="I374" s="28">
        <f t="shared" si="10"/>
        <v>280800</v>
      </c>
    </row>
    <row r="375" spans="1:9" x14ac:dyDescent="0.3">
      <c r="A375" s="30">
        <v>366</v>
      </c>
      <c r="B375" s="30"/>
      <c r="C375" s="33" t="s">
        <v>379</v>
      </c>
      <c r="D375" s="30" t="s">
        <v>88</v>
      </c>
      <c r="E375" s="30">
        <v>6</v>
      </c>
      <c r="F375" s="26"/>
      <c r="G375" s="30">
        <f t="shared" si="11"/>
        <v>6</v>
      </c>
      <c r="H375" s="29">
        <v>73338</v>
      </c>
      <c r="I375" s="28">
        <f t="shared" si="10"/>
        <v>440028</v>
      </c>
    </row>
    <row r="376" spans="1:9" x14ac:dyDescent="0.3">
      <c r="A376" s="30">
        <v>367</v>
      </c>
      <c r="B376" s="30"/>
      <c r="C376" s="33" t="s">
        <v>378</v>
      </c>
      <c r="D376" s="30" t="s">
        <v>88</v>
      </c>
      <c r="E376" s="30">
        <v>1</v>
      </c>
      <c r="F376" s="26"/>
      <c r="G376" s="30">
        <f t="shared" si="11"/>
        <v>1</v>
      </c>
      <c r="H376" s="29">
        <v>75600</v>
      </c>
      <c r="I376" s="28">
        <f t="shared" si="10"/>
        <v>75600</v>
      </c>
    </row>
    <row r="377" spans="1:9" x14ac:dyDescent="0.3">
      <c r="A377" s="30">
        <v>368</v>
      </c>
      <c r="B377" s="30"/>
      <c r="C377" s="33" t="s">
        <v>377</v>
      </c>
      <c r="D377" s="30" t="s">
        <v>88</v>
      </c>
      <c r="E377" s="30">
        <v>1</v>
      </c>
      <c r="F377" s="26"/>
      <c r="G377" s="30">
        <f t="shared" si="11"/>
        <v>1</v>
      </c>
      <c r="H377" s="29">
        <v>75600</v>
      </c>
      <c r="I377" s="28">
        <f t="shared" si="10"/>
        <v>75600</v>
      </c>
    </row>
    <row r="378" spans="1:9" x14ac:dyDescent="0.3">
      <c r="A378" s="30">
        <v>369</v>
      </c>
      <c r="B378" s="30"/>
      <c r="C378" s="33" t="s">
        <v>376</v>
      </c>
      <c r="D378" s="30" t="s">
        <v>88</v>
      </c>
      <c r="E378" s="30">
        <v>1</v>
      </c>
      <c r="F378" s="26"/>
      <c r="G378" s="30">
        <f t="shared" si="11"/>
        <v>1</v>
      </c>
      <c r="H378" s="29">
        <v>75600</v>
      </c>
      <c r="I378" s="28">
        <f t="shared" si="10"/>
        <v>75600</v>
      </c>
    </row>
    <row r="379" spans="1:9" x14ac:dyDescent="0.3">
      <c r="A379" s="30">
        <v>370</v>
      </c>
      <c r="B379" s="30"/>
      <c r="C379" s="33" t="s">
        <v>375</v>
      </c>
      <c r="D379" s="30" t="s">
        <v>88</v>
      </c>
      <c r="E379" s="30">
        <v>1</v>
      </c>
      <c r="F379" s="26"/>
      <c r="G379" s="30">
        <f t="shared" si="11"/>
        <v>1</v>
      </c>
      <c r="H379" s="29">
        <v>75600</v>
      </c>
      <c r="I379" s="28">
        <f t="shared" si="10"/>
        <v>75600</v>
      </c>
    </row>
    <row r="380" spans="1:9" x14ac:dyDescent="0.3">
      <c r="A380" s="30">
        <v>371</v>
      </c>
      <c r="B380" s="30"/>
      <c r="C380" s="33" t="s">
        <v>374</v>
      </c>
      <c r="D380" s="30" t="s">
        <v>88</v>
      </c>
      <c r="E380" s="30">
        <v>1</v>
      </c>
      <c r="F380" s="26"/>
      <c r="G380" s="30">
        <f t="shared" si="11"/>
        <v>1</v>
      </c>
      <c r="H380" s="29">
        <v>17155</v>
      </c>
      <c r="I380" s="28">
        <f t="shared" si="10"/>
        <v>17155</v>
      </c>
    </row>
    <row r="381" spans="1:9" x14ac:dyDescent="0.3">
      <c r="A381" s="30">
        <v>372</v>
      </c>
      <c r="B381" s="30"/>
      <c r="C381" s="33" t="s">
        <v>373</v>
      </c>
      <c r="D381" s="30" t="s">
        <v>88</v>
      </c>
      <c r="E381" s="30">
        <v>1</v>
      </c>
      <c r="F381" s="26"/>
      <c r="G381" s="30">
        <f t="shared" si="11"/>
        <v>1</v>
      </c>
      <c r="H381" s="29">
        <v>17155</v>
      </c>
      <c r="I381" s="28">
        <f t="shared" si="10"/>
        <v>17155</v>
      </c>
    </row>
    <row r="382" spans="1:9" x14ac:dyDescent="0.3">
      <c r="A382" s="30">
        <v>373</v>
      </c>
      <c r="B382" s="30"/>
      <c r="C382" s="33" t="s">
        <v>372</v>
      </c>
      <c r="D382" s="30" t="s">
        <v>88</v>
      </c>
      <c r="E382" s="30">
        <v>3</v>
      </c>
      <c r="F382" s="26"/>
      <c r="G382" s="30">
        <f t="shared" si="11"/>
        <v>3</v>
      </c>
      <c r="H382" s="29">
        <v>21600</v>
      </c>
      <c r="I382" s="28">
        <f t="shared" si="10"/>
        <v>64800</v>
      </c>
    </row>
    <row r="383" spans="1:9" x14ac:dyDescent="0.3">
      <c r="A383" s="30">
        <v>374</v>
      </c>
      <c r="B383" s="30"/>
      <c r="C383" s="33" t="s">
        <v>371</v>
      </c>
      <c r="D383" s="30" t="s">
        <v>88</v>
      </c>
      <c r="E383" s="30">
        <v>8</v>
      </c>
      <c r="F383" s="26"/>
      <c r="G383" s="30">
        <f t="shared" si="11"/>
        <v>8</v>
      </c>
      <c r="H383" s="29">
        <v>54400</v>
      </c>
      <c r="I383" s="28">
        <f t="shared" si="10"/>
        <v>435200</v>
      </c>
    </row>
    <row r="384" spans="1:9" x14ac:dyDescent="0.3">
      <c r="A384" s="30">
        <v>375</v>
      </c>
      <c r="B384" s="30"/>
      <c r="C384" s="33" t="s">
        <v>370</v>
      </c>
      <c r="D384" s="30" t="s">
        <v>88</v>
      </c>
      <c r="E384" s="30">
        <v>10</v>
      </c>
      <c r="F384" s="26"/>
      <c r="G384" s="30">
        <f t="shared" si="11"/>
        <v>10</v>
      </c>
      <c r="H384" s="29">
        <v>127000</v>
      </c>
      <c r="I384" s="28">
        <f t="shared" si="10"/>
        <v>1270000</v>
      </c>
    </row>
    <row r="385" spans="1:9" x14ac:dyDescent="0.3">
      <c r="A385" s="30">
        <v>376</v>
      </c>
      <c r="B385" s="30"/>
      <c r="C385" s="33" t="s">
        <v>369</v>
      </c>
      <c r="D385" s="30" t="s">
        <v>88</v>
      </c>
      <c r="E385" s="30">
        <v>2</v>
      </c>
      <c r="F385" s="26"/>
      <c r="G385" s="30">
        <f t="shared" si="11"/>
        <v>2</v>
      </c>
      <c r="H385" s="29">
        <v>112224.00000000003</v>
      </c>
      <c r="I385" s="28">
        <f t="shared" si="10"/>
        <v>224448.00000000006</v>
      </c>
    </row>
    <row r="386" spans="1:9" x14ac:dyDescent="0.3">
      <c r="A386" s="30">
        <v>377</v>
      </c>
      <c r="B386" s="30"/>
      <c r="C386" s="33" t="s">
        <v>368</v>
      </c>
      <c r="D386" s="30" t="s">
        <v>88</v>
      </c>
      <c r="E386" s="30">
        <v>2</v>
      </c>
      <c r="F386" s="26"/>
      <c r="G386" s="30">
        <f t="shared" si="11"/>
        <v>2</v>
      </c>
      <c r="H386" s="29">
        <v>112224.00000000003</v>
      </c>
      <c r="I386" s="28">
        <f t="shared" si="10"/>
        <v>224448.00000000006</v>
      </c>
    </row>
    <row r="387" spans="1:9" x14ac:dyDescent="0.3">
      <c r="A387" s="30">
        <v>378</v>
      </c>
      <c r="B387" s="30"/>
      <c r="C387" s="33" t="s">
        <v>367</v>
      </c>
      <c r="D387" s="30" t="s">
        <v>88</v>
      </c>
      <c r="E387" s="30">
        <v>2</v>
      </c>
      <c r="F387" s="26"/>
      <c r="G387" s="30">
        <f t="shared" si="11"/>
        <v>2</v>
      </c>
      <c r="H387" s="29">
        <v>36002.400000000001</v>
      </c>
      <c r="I387" s="28">
        <f t="shared" si="10"/>
        <v>72004.800000000003</v>
      </c>
    </row>
    <row r="388" spans="1:9" x14ac:dyDescent="0.3">
      <c r="A388" s="30">
        <v>379</v>
      </c>
      <c r="B388" s="30"/>
      <c r="C388" s="33" t="s">
        <v>366</v>
      </c>
      <c r="D388" s="30" t="s">
        <v>88</v>
      </c>
      <c r="E388" s="30">
        <v>1</v>
      </c>
      <c r="F388" s="26"/>
      <c r="G388" s="30">
        <f t="shared" si="11"/>
        <v>1</v>
      </c>
      <c r="H388" s="29">
        <v>18001.2</v>
      </c>
      <c r="I388" s="28">
        <f t="shared" si="10"/>
        <v>18001.2</v>
      </c>
    </row>
    <row r="389" spans="1:9" x14ac:dyDescent="0.3">
      <c r="A389" s="30">
        <v>380</v>
      </c>
      <c r="B389" s="30"/>
      <c r="C389" s="33" t="s">
        <v>365</v>
      </c>
      <c r="D389" s="30" t="s">
        <v>88</v>
      </c>
      <c r="E389" s="30">
        <v>1</v>
      </c>
      <c r="F389" s="26"/>
      <c r="G389" s="30">
        <f t="shared" si="11"/>
        <v>1</v>
      </c>
      <c r="H389" s="29">
        <v>18001.2</v>
      </c>
      <c r="I389" s="28">
        <f t="shared" si="10"/>
        <v>18001.2</v>
      </c>
    </row>
    <row r="390" spans="1:9" x14ac:dyDescent="0.3">
      <c r="A390" s="30">
        <v>381</v>
      </c>
      <c r="B390" s="30"/>
      <c r="C390" s="33" t="s">
        <v>364</v>
      </c>
      <c r="D390" s="30" t="s">
        <v>88</v>
      </c>
      <c r="E390" s="30">
        <v>4</v>
      </c>
      <c r="F390" s="26"/>
      <c r="G390" s="30">
        <f t="shared" si="11"/>
        <v>4</v>
      </c>
      <c r="H390" s="29">
        <v>114000</v>
      </c>
      <c r="I390" s="28">
        <f t="shared" si="10"/>
        <v>456000</v>
      </c>
    </row>
    <row r="391" spans="1:9" x14ac:dyDescent="0.3">
      <c r="A391" s="30">
        <v>382</v>
      </c>
      <c r="B391" s="30"/>
      <c r="C391" s="33" t="s">
        <v>363</v>
      </c>
      <c r="D391" s="30" t="s">
        <v>88</v>
      </c>
      <c r="E391" s="30">
        <v>4</v>
      </c>
      <c r="F391" s="26"/>
      <c r="G391" s="30">
        <f t="shared" si="11"/>
        <v>4</v>
      </c>
      <c r="H391" s="29">
        <v>124640</v>
      </c>
      <c r="I391" s="28">
        <f t="shared" si="10"/>
        <v>498560</v>
      </c>
    </row>
    <row r="392" spans="1:9" x14ac:dyDescent="0.3">
      <c r="A392" s="30">
        <v>383</v>
      </c>
      <c r="B392" s="30"/>
      <c r="C392" s="33" t="s">
        <v>362</v>
      </c>
      <c r="D392" s="30" t="s">
        <v>88</v>
      </c>
      <c r="E392" s="30">
        <v>2</v>
      </c>
      <c r="F392" s="26"/>
      <c r="G392" s="30">
        <f t="shared" si="11"/>
        <v>2</v>
      </c>
      <c r="H392" s="29">
        <v>70000</v>
      </c>
      <c r="I392" s="28">
        <f t="shared" si="10"/>
        <v>140000</v>
      </c>
    </row>
    <row r="393" spans="1:9" x14ac:dyDescent="0.3">
      <c r="A393" s="30">
        <v>384</v>
      </c>
      <c r="B393" s="30"/>
      <c r="C393" s="33" t="s">
        <v>361</v>
      </c>
      <c r="D393" s="30" t="s">
        <v>88</v>
      </c>
      <c r="E393" s="30">
        <v>1</v>
      </c>
      <c r="F393" s="26"/>
      <c r="G393" s="30">
        <f t="shared" si="11"/>
        <v>1</v>
      </c>
      <c r="H393" s="29">
        <v>35000</v>
      </c>
      <c r="I393" s="28">
        <f t="shared" si="10"/>
        <v>35000</v>
      </c>
    </row>
    <row r="394" spans="1:9" x14ac:dyDescent="0.3">
      <c r="A394" s="30">
        <v>385</v>
      </c>
      <c r="B394" s="30"/>
      <c r="C394" s="33" t="s">
        <v>360</v>
      </c>
      <c r="D394" s="30" t="s">
        <v>88</v>
      </c>
      <c r="E394" s="30">
        <v>1</v>
      </c>
      <c r="F394" s="26"/>
      <c r="G394" s="30">
        <f t="shared" si="11"/>
        <v>1</v>
      </c>
      <c r="H394" s="29">
        <v>35000</v>
      </c>
      <c r="I394" s="28">
        <f t="shared" ref="I394:I457" si="12">G394*H394</f>
        <v>35000</v>
      </c>
    </row>
    <row r="395" spans="1:9" x14ac:dyDescent="0.3">
      <c r="A395" s="30">
        <v>386</v>
      </c>
      <c r="B395" s="30"/>
      <c r="C395" s="33" t="s">
        <v>359</v>
      </c>
      <c r="D395" s="30" t="s">
        <v>88</v>
      </c>
      <c r="E395" s="30">
        <v>2</v>
      </c>
      <c r="F395" s="26"/>
      <c r="G395" s="30">
        <f t="shared" ref="G395:G458" si="13">E395-F395</f>
        <v>2</v>
      </c>
      <c r="H395" s="29">
        <v>70000</v>
      </c>
      <c r="I395" s="28">
        <f t="shared" si="12"/>
        <v>140000</v>
      </c>
    </row>
    <row r="396" spans="1:9" x14ac:dyDescent="0.3">
      <c r="A396" s="30">
        <v>387</v>
      </c>
      <c r="B396" s="30"/>
      <c r="C396" s="33" t="s">
        <v>358</v>
      </c>
      <c r="D396" s="30" t="s">
        <v>88</v>
      </c>
      <c r="E396" s="30">
        <v>4</v>
      </c>
      <c r="F396" s="26"/>
      <c r="G396" s="30">
        <f t="shared" si="13"/>
        <v>4</v>
      </c>
      <c r="H396" s="29">
        <v>65600</v>
      </c>
      <c r="I396" s="28">
        <f t="shared" si="12"/>
        <v>262400</v>
      </c>
    </row>
    <row r="397" spans="1:9" x14ac:dyDescent="0.3">
      <c r="A397" s="30">
        <v>388</v>
      </c>
      <c r="B397" s="30"/>
      <c r="C397" s="33" t="s">
        <v>357</v>
      </c>
      <c r="D397" s="30" t="s">
        <v>88</v>
      </c>
      <c r="E397" s="30">
        <v>2</v>
      </c>
      <c r="F397" s="26"/>
      <c r="G397" s="30">
        <f t="shared" si="13"/>
        <v>2</v>
      </c>
      <c r="H397" s="29">
        <v>38164</v>
      </c>
      <c r="I397" s="28">
        <f t="shared" si="12"/>
        <v>76328</v>
      </c>
    </row>
    <row r="398" spans="1:9" x14ac:dyDescent="0.3">
      <c r="A398" s="30">
        <v>389</v>
      </c>
      <c r="B398" s="30"/>
      <c r="C398" s="33" t="s">
        <v>356</v>
      </c>
      <c r="D398" s="30" t="s">
        <v>88</v>
      </c>
      <c r="E398" s="30">
        <v>2</v>
      </c>
      <c r="F398" s="26"/>
      <c r="G398" s="30">
        <f t="shared" si="13"/>
        <v>2</v>
      </c>
      <c r="H398" s="29">
        <v>38164</v>
      </c>
      <c r="I398" s="28">
        <f t="shared" si="12"/>
        <v>76328</v>
      </c>
    </row>
    <row r="399" spans="1:9" x14ac:dyDescent="0.3">
      <c r="A399" s="30">
        <v>390</v>
      </c>
      <c r="B399" s="30"/>
      <c r="C399" s="33" t="s">
        <v>355</v>
      </c>
      <c r="D399" s="30" t="s">
        <v>88</v>
      </c>
      <c r="E399" s="30">
        <v>2</v>
      </c>
      <c r="F399" s="26"/>
      <c r="G399" s="30">
        <f t="shared" si="13"/>
        <v>2</v>
      </c>
      <c r="H399" s="29">
        <v>38164</v>
      </c>
      <c r="I399" s="28">
        <f t="shared" si="12"/>
        <v>76328</v>
      </c>
    </row>
    <row r="400" spans="1:9" x14ac:dyDescent="0.3">
      <c r="A400" s="30">
        <v>391</v>
      </c>
      <c r="B400" s="30"/>
      <c r="C400" s="33" t="s">
        <v>354</v>
      </c>
      <c r="D400" s="30" t="s">
        <v>88</v>
      </c>
      <c r="E400" s="30">
        <v>2</v>
      </c>
      <c r="F400" s="26"/>
      <c r="G400" s="30">
        <f t="shared" si="13"/>
        <v>2</v>
      </c>
      <c r="H400" s="29">
        <v>26600</v>
      </c>
      <c r="I400" s="28">
        <f t="shared" si="12"/>
        <v>53200</v>
      </c>
    </row>
    <row r="401" spans="1:9" x14ac:dyDescent="0.3">
      <c r="A401" s="30">
        <v>392</v>
      </c>
      <c r="B401" s="30"/>
      <c r="C401" s="33" t="s">
        <v>353</v>
      </c>
      <c r="D401" s="30" t="s">
        <v>88</v>
      </c>
      <c r="E401" s="30">
        <v>2</v>
      </c>
      <c r="F401" s="26"/>
      <c r="G401" s="30">
        <f t="shared" si="13"/>
        <v>2</v>
      </c>
      <c r="H401" s="29">
        <v>26600</v>
      </c>
      <c r="I401" s="28">
        <f t="shared" si="12"/>
        <v>53200</v>
      </c>
    </row>
    <row r="402" spans="1:9" x14ac:dyDescent="0.3">
      <c r="A402" s="30">
        <v>393</v>
      </c>
      <c r="B402" s="30"/>
      <c r="C402" s="33" t="s">
        <v>352</v>
      </c>
      <c r="D402" s="30" t="s">
        <v>88</v>
      </c>
      <c r="E402" s="30">
        <v>2</v>
      </c>
      <c r="F402" s="26"/>
      <c r="G402" s="30">
        <f t="shared" si="13"/>
        <v>2</v>
      </c>
      <c r="H402" s="29">
        <v>26600</v>
      </c>
      <c r="I402" s="28">
        <f t="shared" si="12"/>
        <v>53200</v>
      </c>
    </row>
    <row r="403" spans="1:9" x14ac:dyDescent="0.3">
      <c r="A403" s="30">
        <v>394</v>
      </c>
      <c r="B403" s="30"/>
      <c r="C403" s="33" t="s">
        <v>351</v>
      </c>
      <c r="D403" s="30" t="s">
        <v>88</v>
      </c>
      <c r="E403" s="30">
        <v>2</v>
      </c>
      <c r="F403" s="26"/>
      <c r="G403" s="30">
        <f t="shared" si="13"/>
        <v>2</v>
      </c>
      <c r="H403" s="29">
        <v>26600</v>
      </c>
      <c r="I403" s="28">
        <f t="shared" si="12"/>
        <v>53200</v>
      </c>
    </row>
    <row r="404" spans="1:9" x14ac:dyDescent="0.3">
      <c r="A404" s="30">
        <v>395</v>
      </c>
      <c r="B404" s="30"/>
      <c r="C404" s="33" t="s">
        <v>350</v>
      </c>
      <c r="D404" s="30" t="s">
        <v>88</v>
      </c>
      <c r="E404" s="30">
        <v>2</v>
      </c>
      <c r="F404" s="26"/>
      <c r="G404" s="30">
        <f t="shared" si="13"/>
        <v>2</v>
      </c>
      <c r="H404" s="29">
        <v>17100</v>
      </c>
      <c r="I404" s="28">
        <f t="shared" si="12"/>
        <v>34200</v>
      </c>
    </row>
    <row r="405" spans="1:9" x14ac:dyDescent="0.3">
      <c r="A405" s="30">
        <v>396</v>
      </c>
      <c r="B405" s="30"/>
      <c r="C405" s="33" t="s">
        <v>349</v>
      </c>
      <c r="D405" s="30" t="s">
        <v>88</v>
      </c>
      <c r="E405" s="30">
        <v>7</v>
      </c>
      <c r="F405" s="26"/>
      <c r="G405" s="30">
        <f t="shared" si="13"/>
        <v>7</v>
      </c>
      <c r="H405" s="29">
        <v>9975</v>
      </c>
      <c r="I405" s="28">
        <f t="shared" si="12"/>
        <v>69825</v>
      </c>
    </row>
    <row r="406" spans="1:9" x14ac:dyDescent="0.3">
      <c r="A406" s="30">
        <v>397</v>
      </c>
      <c r="B406" s="30"/>
      <c r="C406" s="33" t="s">
        <v>348</v>
      </c>
      <c r="D406" s="30" t="s">
        <v>88</v>
      </c>
      <c r="E406" s="30">
        <v>4</v>
      </c>
      <c r="F406" s="26"/>
      <c r="G406" s="30">
        <f t="shared" si="13"/>
        <v>4</v>
      </c>
      <c r="H406" s="29">
        <v>60000</v>
      </c>
      <c r="I406" s="28">
        <f t="shared" si="12"/>
        <v>240000</v>
      </c>
    </row>
    <row r="407" spans="1:9" x14ac:dyDescent="0.3">
      <c r="A407" s="30">
        <v>398</v>
      </c>
      <c r="B407" s="30"/>
      <c r="C407" s="33" t="s">
        <v>347</v>
      </c>
      <c r="D407" s="30" t="s">
        <v>88</v>
      </c>
      <c r="E407" s="30">
        <v>2</v>
      </c>
      <c r="F407" s="26"/>
      <c r="G407" s="30">
        <f t="shared" si="13"/>
        <v>2</v>
      </c>
      <c r="H407" s="29">
        <v>35000</v>
      </c>
      <c r="I407" s="28">
        <f t="shared" si="12"/>
        <v>70000</v>
      </c>
    </row>
    <row r="408" spans="1:9" x14ac:dyDescent="0.3">
      <c r="A408" s="30">
        <v>399</v>
      </c>
      <c r="B408" s="30"/>
      <c r="C408" s="33" t="s">
        <v>346</v>
      </c>
      <c r="D408" s="30" t="s">
        <v>88</v>
      </c>
      <c r="E408" s="30">
        <v>2</v>
      </c>
      <c r="F408" s="26"/>
      <c r="G408" s="30">
        <f t="shared" si="13"/>
        <v>2</v>
      </c>
      <c r="H408" s="29">
        <v>53390</v>
      </c>
      <c r="I408" s="28">
        <f t="shared" si="12"/>
        <v>106780</v>
      </c>
    </row>
    <row r="409" spans="1:9" x14ac:dyDescent="0.3">
      <c r="A409" s="30">
        <v>400</v>
      </c>
      <c r="B409" s="30"/>
      <c r="C409" s="33" t="s">
        <v>345</v>
      </c>
      <c r="D409" s="30" t="s">
        <v>88</v>
      </c>
      <c r="E409" s="30">
        <v>4</v>
      </c>
      <c r="F409" s="26"/>
      <c r="G409" s="30">
        <f t="shared" si="13"/>
        <v>4</v>
      </c>
      <c r="H409" s="29">
        <v>58056</v>
      </c>
      <c r="I409" s="28">
        <f t="shared" si="12"/>
        <v>232224</v>
      </c>
    </row>
    <row r="410" spans="1:9" x14ac:dyDescent="0.3">
      <c r="A410" s="30">
        <v>401</v>
      </c>
      <c r="B410" s="30"/>
      <c r="C410" s="33" t="s">
        <v>344</v>
      </c>
      <c r="D410" s="30" t="s">
        <v>88</v>
      </c>
      <c r="E410" s="30">
        <v>4</v>
      </c>
      <c r="F410" s="26"/>
      <c r="G410" s="30">
        <f t="shared" si="13"/>
        <v>4</v>
      </c>
      <c r="H410" s="29">
        <v>23616</v>
      </c>
      <c r="I410" s="28">
        <f t="shared" si="12"/>
        <v>94464</v>
      </c>
    </row>
    <row r="411" spans="1:9" x14ac:dyDescent="0.3">
      <c r="A411" s="30">
        <v>402</v>
      </c>
      <c r="B411" s="30"/>
      <c r="C411" s="33" t="s">
        <v>343</v>
      </c>
      <c r="D411" s="30" t="s">
        <v>88</v>
      </c>
      <c r="E411" s="30">
        <v>4</v>
      </c>
      <c r="F411" s="26"/>
      <c r="G411" s="30">
        <f t="shared" si="13"/>
        <v>4</v>
      </c>
      <c r="H411" s="29">
        <v>46904</v>
      </c>
      <c r="I411" s="28">
        <f t="shared" si="12"/>
        <v>187616</v>
      </c>
    </row>
    <row r="412" spans="1:9" x14ac:dyDescent="0.3">
      <c r="A412" s="30">
        <v>403</v>
      </c>
      <c r="B412" s="30"/>
      <c r="C412" s="33" t="s">
        <v>342</v>
      </c>
      <c r="D412" s="30" t="s">
        <v>88</v>
      </c>
      <c r="E412" s="30">
        <v>2</v>
      </c>
      <c r="F412" s="26"/>
      <c r="G412" s="30">
        <f t="shared" si="13"/>
        <v>2</v>
      </c>
      <c r="H412" s="29">
        <v>24600</v>
      </c>
      <c r="I412" s="28">
        <f t="shared" si="12"/>
        <v>49200</v>
      </c>
    </row>
    <row r="413" spans="1:9" x14ac:dyDescent="0.3">
      <c r="A413" s="30">
        <v>404</v>
      </c>
      <c r="B413" s="30"/>
      <c r="C413" s="33" t="s">
        <v>341</v>
      </c>
      <c r="D413" s="30" t="s">
        <v>88</v>
      </c>
      <c r="E413" s="30">
        <v>1</v>
      </c>
      <c r="F413" s="26"/>
      <c r="G413" s="30">
        <f t="shared" si="13"/>
        <v>1</v>
      </c>
      <c r="H413" s="29">
        <v>29800</v>
      </c>
      <c r="I413" s="28">
        <f t="shared" si="12"/>
        <v>29800</v>
      </c>
    </row>
    <row r="414" spans="1:9" x14ac:dyDescent="0.3">
      <c r="A414" s="30">
        <v>405</v>
      </c>
      <c r="B414" s="30"/>
      <c r="C414" s="33" t="s">
        <v>340</v>
      </c>
      <c r="D414" s="30" t="s">
        <v>88</v>
      </c>
      <c r="E414" s="30">
        <v>1</v>
      </c>
      <c r="F414" s="26"/>
      <c r="G414" s="30">
        <f t="shared" si="13"/>
        <v>1</v>
      </c>
      <c r="H414" s="29">
        <v>29800</v>
      </c>
      <c r="I414" s="28">
        <f t="shared" si="12"/>
        <v>29800</v>
      </c>
    </row>
    <row r="415" spans="1:9" x14ac:dyDescent="0.3">
      <c r="A415" s="30">
        <v>406</v>
      </c>
      <c r="B415" s="30"/>
      <c r="C415" s="33" t="s">
        <v>339</v>
      </c>
      <c r="D415" s="30" t="s">
        <v>88</v>
      </c>
      <c r="E415" s="30">
        <v>4</v>
      </c>
      <c r="F415" s="26"/>
      <c r="G415" s="30">
        <f t="shared" si="13"/>
        <v>4</v>
      </c>
      <c r="H415" s="29">
        <v>21600</v>
      </c>
      <c r="I415" s="28">
        <f t="shared" si="12"/>
        <v>86400</v>
      </c>
    </row>
    <row r="416" spans="1:9" x14ac:dyDescent="0.3">
      <c r="A416" s="30">
        <v>407</v>
      </c>
      <c r="B416" s="30"/>
      <c r="C416" s="33" t="s">
        <v>338</v>
      </c>
      <c r="D416" s="30" t="s">
        <v>88</v>
      </c>
      <c r="E416" s="30">
        <v>4</v>
      </c>
      <c r="F416" s="26"/>
      <c r="G416" s="30">
        <f t="shared" si="13"/>
        <v>4</v>
      </c>
      <c r="H416" s="29">
        <v>78720</v>
      </c>
      <c r="I416" s="28">
        <f t="shared" si="12"/>
        <v>314880</v>
      </c>
    </row>
    <row r="417" spans="1:9" x14ac:dyDescent="0.3">
      <c r="A417" s="30">
        <v>408</v>
      </c>
      <c r="B417" s="30"/>
      <c r="C417" s="33" t="s">
        <v>337</v>
      </c>
      <c r="D417" s="30" t="s">
        <v>88</v>
      </c>
      <c r="E417" s="30">
        <v>2</v>
      </c>
      <c r="F417" s="26"/>
      <c r="G417" s="30">
        <f t="shared" si="13"/>
        <v>2</v>
      </c>
      <c r="H417" s="29">
        <v>76360</v>
      </c>
      <c r="I417" s="28">
        <f t="shared" si="12"/>
        <v>152720</v>
      </c>
    </row>
    <row r="418" spans="1:9" x14ac:dyDescent="0.3">
      <c r="A418" s="30">
        <v>409</v>
      </c>
      <c r="B418" s="30"/>
      <c r="C418" s="33" t="s">
        <v>336</v>
      </c>
      <c r="D418" s="30" t="s">
        <v>88</v>
      </c>
      <c r="E418" s="30">
        <v>2</v>
      </c>
      <c r="F418" s="26"/>
      <c r="G418" s="30">
        <f t="shared" si="13"/>
        <v>2</v>
      </c>
      <c r="H418" s="29">
        <v>76360</v>
      </c>
      <c r="I418" s="28">
        <f t="shared" si="12"/>
        <v>152720</v>
      </c>
    </row>
    <row r="419" spans="1:9" x14ac:dyDescent="0.3">
      <c r="A419" s="30">
        <v>410</v>
      </c>
      <c r="B419" s="30"/>
      <c r="C419" s="33" t="s">
        <v>335</v>
      </c>
      <c r="D419" s="30" t="s">
        <v>88</v>
      </c>
      <c r="E419" s="30">
        <v>4</v>
      </c>
      <c r="F419" s="26"/>
      <c r="G419" s="30">
        <f t="shared" si="13"/>
        <v>4</v>
      </c>
      <c r="H419" s="29">
        <v>159600</v>
      </c>
      <c r="I419" s="28">
        <f t="shared" si="12"/>
        <v>638400</v>
      </c>
    </row>
    <row r="420" spans="1:9" x14ac:dyDescent="0.3">
      <c r="A420" s="30">
        <v>411</v>
      </c>
      <c r="B420" s="30"/>
      <c r="C420" s="33" t="s">
        <v>334</v>
      </c>
      <c r="D420" s="30" t="s">
        <v>88</v>
      </c>
      <c r="E420" s="30">
        <v>2</v>
      </c>
      <c r="F420" s="26"/>
      <c r="G420" s="30">
        <f t="shared" si="13"/>
        <v>2</v>
      </c>
      <c r="H420" s="29">
        <v>85000</v>
      </c>
      <c r="I420" s="28">
        <f t="shared" si="12"/>
        <v>170000</v>
      </c>
    </row>
    <row r="421" spans="1:9" x14ac:dyDescent="0.3">
      <c r="A421" s="30">
        <v>412</v>
      </c>
      <c r="B421" s="30"/>
      <c r="C421" s="33" t="s">
        <v>333</v>
      </c>
      <c r="D421" s="30" t="s">
        <v>88</v>
      </c>
      <c r="E421" s="30">
        <v>2</v>
      </c>
      <c r="F421" s="26"/>
      <c r="G421" s="30">
        <f t="shared" si="13"/>
        <v>2</v>
      </c>
      <c r="H421" s="29">
        <v>85000</v>
      </c>
      <c r="I421" s="28">
        <f t="shared" si="12"/>
        <v>170000</v>
      </c>
    </row>
    <row r="422" spans="1:9" x14ac:dyDescent="0.3">
      <c r="A422" s="30">
        <v>413</v>
      </c>
      <c r="B422" s="30"/>
      <c r="C422" s="33" t="s">
        <v>332</v>
      </c>
      <c r="D422" s="30" t="s">
        <v>88</v>
      </c>
      <c r="E422" s="30">
        <v>2</v>
      </c>
      <c r="F422" s="26"/>
      <c r="G422" s="30">
        <f t="shared" si="13"/>
        <v>2</v>
      </c>
      <c r="H422" s="29">
        <v>85000</v>
      </c>
      <c r="I422" s="28">
        <f t="shared" si="12"/>
        <v>170000</v>
      </c>
    </row>
    <row r="423" spans="1:9" x14ac:dyDescent="0.3">
      <c r="A423" s="30">
        <v>414</v>
      </c>
      <c r="B423" s="30"/>
      <c r="C423" s="33" t="s">
        <v>331</v>
      </c>
      <c r="D423" s="30" t="s">
        <v>88</v>
      </c>
      <c r="E423" s="30">
        <v>2</v>
      </c>
      <c r="F423" s="26"/>
      <c r="G423" s="30">
        <f t="shared" si="13"/>
        <v>2</v>
      </c>
      <c r="H423" s="29">
        <v>85000</v>
      </c>
      <c r="I423" s="28">
        <f t="shared" si="12"/>
        <v>170000</v>
      </c>
    </row>
    <row r="424" spans="1:9" x14ac:dyDescent="0.3">
      <c r="A424" s="30">
        <v>415</v>
      </c>
      <c r="B424" s="30"/>
      <c r="C424" s="33" t="s">
        <v>330</v>
      </c>
      <c r="D424" s="30" t="s">
        <v>88</v>
      </c>
      <c r="E424" s="30">
        <v>2</v>
      </c>
      <c r="F424" s="26"/>
      <c r="G424" s="30">
        <f t="shared" si="13"/>
        <v>2</v>
      </c>
      <c r="H424" s="29">
        <v>28050</v>
      </c>
      <c r="I424" s="28">
        <f t="shared" si="12"/>
        <v>56100</v>
      </c>
    </row>
    <row r="425" spans="1:9" x14ac:dyDescent="0.3">
      <c r="A425" s="30">
        <v>416</v>
      </c>
      <c r="B425" s="30"/>
      <c r="C425" s="33" t="s">
        <v>329</v>
      </c>
      <c r="D425" s="30" t="s">
        <v>88</v>
      </c>
      <c r="E425" s="30">
        <v>2</v>
      </c>
      <c r="F425" s="26"/>
      <c r="G425" s="30">
        <f t="shared" si="13"/>
        <v>2</v>
      </c>
      <c r="H425" s="29">
        <v>28050</v>
      </c>
      <c r="I425" s="28">
        <f t="shared" si="12"/>
        <v>56100</v>
      </c>
    </row>
    <row r="426" spans="1:9" x14ac:dyDescent="0.3">
      <c r="A426" s="30">
        <v>417</v>
      </c>
      <c r="B426" s="30"/>
      <c r="C426" s="33" t="s">
        <v>328</v>
      </c>
      <c r="D426" s="30" t="s">
        <v>88</v>
      </c>
      <c r="E426" s="30">
        <v>2</v>
      </c>
      <c r="F426" s="26"/>
      <c r="G426" s="30">
        <f t="shared" si="13"/>
        <v>2</v>
      </c>
      <c r="H426" s="29">
        <v>28050</v>
      </c>
      <c r="I426" s="28">
        <f t="shared" si="12"/>
        <v>56100</v>
      </c>
    </row>
    <row r="427" spans="1:9" x14ac:dyDescent="0.3">
      <c r="A427" s="30">
        <v>418</v>
      </c>
      <c r="B427" s="30"/>
      <c r="C427" s="33" t="s">
        <v>327</v>
      </c>
      <c r="D427" s="30" t="s">
        <v>88</v>
      </c>
      <c r="E427" s="30">
        <v>2</v>
      </c>
      <c r="F427" s="26"/>
      <c r="G427" s="30">
        <f t="shared" si="13"/>
        <v>2</v>
      </c>
      <c r="H427" s="29">
        <v>28050</v>
      </c>
      <c r="I427" s="28">
        <f t="shared" si="12"/>
        <v>56100</v>
      </c>
    </row>
    <row r="428" spans="1:9" x14ac:dyDescent="0.3">
      <c r="A428" s="30">
        <v>419</v>
      </c>
      <c r="B428" s="30"/>
      <c r="C428" s="33" t="s">
        <v>326</v>
      </c>
      <c r="D428" s="30" t="s">
        <v>88</v>
      </c>
      <c r="E428" s="30">
        <v>2</v>
      </c>
      <c r="F428" s="26"/>
      <c r="G428" s="30">
        <f t="shared" si="13"/>
        <v>2</v>
      </c>
      <c r="H428" s="29">
        <v>28050</v>
      </c>
      <c r="I428" s="28">
        <f t="shared" si="12"/>
        <v>56100</v>
      </c>
    </row>
    <row r="429" spans="1:9" x14ac:dyDescent="0.3">
      <c r="A429" s="30">
        <v>420</v>
      </c>
      <c r="B429" s="30"/>
      <c r="C429" s="33" t="s">
        <v>325</v>
      </c>
      <c r="D429" s="30" t="s">
        <v>88</v>
      </c>
      <c r="E429" s="30">
        <v>1</v>
      </c>
      <c r="F429" s="26"/>
      <c r="G429" s="30">
        <f t="shared" si="13"/>
        <v>1</v>
      </c>
      <c r="H429" s="29">
        <v>14775</v>
      </c>
      <c r="I429" s="28">
        <f t="shared" si="12"/>
        <v>14775</v>
      </c>
    </row>
    <row r="430" spans="1:9" x14ac:dyDescent="0.3">
      <c r="A430" s="30">
        <v>421</v>
      </c>
      <c r="B430" s="30"/>
      <c r="C430" s="33" t="s">
        <v>324</v>
      </c>
      <c r="D430" s="30" t="s">
        <v>88</v>
      </c>
      <c r="E430" s="30">
        <v>1</v>
      </c>
      <c r="F430" s="26"/>
      <c r="G430" s="30">
        <f t="shared" si="13"/>
        <v>1</v>
      </c>
      <c r="H430" s="29">
        <v>14775</v>
      </c>
      <c r="I430" s="28">
        <f t="shared" si="12"/>
        <v>14775</v>
      </c>
    </row>
    <row r="431" spans="1:9" x14ac:dyDescent="0.3">
      <c r="A431" s="30">
        <v>422</v>
      </c>
      <c r="B431" s="30"/>
      <c r="C431" s="33" t="s">
        <v>323</v>
      </c>
      <c r="D431" s="30" t="s">
        <v>88</v>
      </c>
      <c r="E431" s="30">
        <v>1</v>
      </c>
      <c r="F431" s="26"/>
      <c r="G431" s="30">
        <f t="shared" si="13"/>
        <v>1</v>
      </c>
      <c r="H431" s="29">
        <v>14775</v>
      </c>
      <c r="I431" s="28">
        <f t="shared" si="12"/>
        <v>14775</v>
      </c>
    </row>
    <row r="432" spans="1:9" x14ac:dyDescent="0.3">
      <c r="A432" s="30">
        <v>423</v>
      </c>
      <c r="B432" s="30"/>
      <c r="C432" s="33" t="s">
        <v>322</v>
      </c>
      <c r="D432" s="30" t="s">
        <v>88</v>
      </c>
      <c r="E432" s="30">
        <v>1</v>
      </c>
      <c r="F432" s="26"/>
      <c r="G432" s="30">
        <f t="shared" si="13"/>
        <v>1</v>
      </c>
      <c r="H432" s="29">
        <v>14775</v>
      </c>
      <c r="I432" s="28">
        <f t="shared" si="12"/>
        <v>14775</v>
      </c>
    </row>
    <row r="433" spans="1:9" x14ac:dyDescent="0.3">
      <c r="A433" s="30">
        <v>424</v>
      </c>
      <c r="B433" s="30"/>
      <c r="C433" s="33" t="s">
        <v>321</v>
      </c>
      <c r="D433" s="30" t="s">
        <v>88</v>
      </c>
      <c r="E433" s="30">
        <v>1</v>
      </c>
      <c r="F433" s="26"/>
      <c r="G433" s="30">
        <f t="shared" si="13"/>
        <v>1</v>
      </c>
      <c r="H433" s="29">
        <v>14775</v>
      </c>
      <c r="I433" s="28">
        <f t="shared" si="12"/>
        <v>14775</v>
      </c>
    </row>
    <row r="434" spans="1:9" x14ac:dyDescent="0.3">
      <c r="A434" s="30">
        <v>425</v>
      </c>
      <c r="B434" s="30"/>
      <c r="C434" s="33" t="s">
        <v>320</v>
      </c>
      <c r="D434" s="30" t="s">
        <v>88</v>
      </c>
      <c r="E434" s="30">
        <v>1</v>
      </c>
      <c r="F434" s="26"/>
      <c r="G434" s="30">
        <f t="shared" si="13"/>
        <v>1</v>
      </c>
      <c r="H434" s="29">
        <v>14775</v>
      </c>
      <c r="I434" s="28">
        <f t="shared" si="12"/>
        <v>14775</v>
      </c>
    </row>
    <row r="435" spans="1:9" x14ac:dyDescent="0.3">
      <c r="A435" s="30">
        <v>426</v>
      </c>
      <c r="B435" s="30"/>
      <c r="C435" s="33" t="s">
        <v>319</v>
      </c>
      <c r="D435" s="30" t="s">
        <v>88</v>
      </c>
      <c r="E435" s="30">
        <v>1</v>
      </c>
      <c r="F435" s="26"/>
      <c r="G435" s="30">
        <f t="shared" si="13"/>
        <v>1</v>
      </c>
      <c r="H435" s="29">
        <v>14775</v>
      </c>
      <c r="I435" s="28">
        <f t="shared" si="12"/>
        <v>14775</v>
      </c>
    </row>
    <row r="436" spans="1:9" x14ac:dyDescent="0.3">
      <c r="A436" s="30">
        <v>427</v>
      </c>
      <c r="B436" s="30"/>
      <c r="C436" s="33" t="s">
        <v>318</v>
      </c>
      <c r="D436" s="30" t="s">
        <v>88</v>
      </c>
      <c r="E436" s="30">
        <v>1</v>
      </c>
      <c r="F436" s="26"/>
      <c r="G436" s="30">
        <f t="shared" si="13"/>
        <v>1</v>
      </c>
      <c r="H436" s="29">
        <v>14775</v>
      </c>
      <c r="I436" s="28">
        <f t="shared" si="12"/>
        <v>14775</v>
      </c>
    </row>
    <row r="437" spans="1:9" x14ac:dyDescent="0.3">
      <c r="A437" s="30">
        <v>428</v>
      </c>
      <c r="B437" s="30"/>
      <c r="C437" s="33" t="s">
        <v>317</v>
      </c>
      <c r="D437" s="30" t="s">
        <v>88</v>
      </c>
      <c r="E437" s="30">
        <v>1</v>
      </c>
      <c r="F437" s="26"/>
      <c r="G437" s="30">
        <f t="shared" si="13"/>
        <v>1</v>
      </c>
      <c r="H437" s="29">
        <v>14775</v>
      </c>
      <c r="I437" s="28">
        <f t="shared" si="12"/>
        <v>14775</v>
      </c>
    </row>
    <row r="438" spans="1:9" x14ac:dyDescent="0.3">
      <c r="A438" s="30">
        <v>429</v>
      </c>
      <c r="B438" s="30"/>
      <c r="C438" s="33" t="s">
        <v>316</v>
      </c>
      <c r="D438" s="30" t="s">
        <v>88</v>
      </c>
      <c r="E438" s="30">
        <v>2</v>
      </c>
      <c r="F438" s="26"/>
      <c r="G438" s="30">
        <f t="shared" si="13"/>
        <v>2</v>
      </c>
      <c r="H438" s="29">
        <v>178500</v>
      </c>
      <c r="I438" s="28">
        <f t="shared" si="12"/>
        <v>357000</v>
      </c>
    </row>
    <row r="439" spans="1:9" x14ac:dyDescent="0.3">
      <c r="A439" s="30">
        <v>430</v>
      </c>
      <c r="B439" s="30"/>
      <c r="C439" s="33" t="s">
        <v>315</v>
      </c>
      <c r="D439" s="30" t="s">
        <v>88</v>
      </c>
      <c r="E439" s="30">
        <v>1</v>
      </c>
      <c r="F439" s="26"/>
      <c r="G439" s="30">
        <f t="shared" si="13"/>
        <v>1</v>
      </c>
      <c r="H439" s="29">
        <v>103040</v>
      </c>
      <c r="I439" s="28">
        <f t="shared" si="12"/>
        <v>103040</v>
      </c>
    </row>
    <row r="440" spans="1:9" x14ac:dyDescent="0.3">
      <c r="A440" s="30">
        <v>431</v>
      </c>
      <c r="B440" s="30"/>
      <c r="C440" s="33" t="s">
        <v>314</v>
      </c>
      <c r="D440" s="30" t="s">
        <v>88</v>
      </c>
      <c r="E440" s="30">
        <v>1</v>
      </c>
      <c r="F440" s="26"/>
      <c r="G440" s="30">
        <f t="shared" si="13"/>
        <v>1</v>
      </c>
      <c r="H440" s="29">
        <v>114560</v>
      </c>
      <c r="I440" s="28">
        <f t="shared" si="12"/>
        <v>114560</v>
      </c>
    </row>
    <row r="441" spans="1:9" x14ac:dyDescent="0.3">
      <c r="A441" s="30">
        <v>432</v>
      </c>
      <c r="B441" s="30"/>
      <c r="C441" s="33" t="s">
        <v>313</v>
      </c>
      <c r="D441" s="30" t="s">
        <v>88</v>
      </c>
      <c r="E441" s="30">
        <v>1</v>
      </c>
      <c r="F441" s="26"/>
      <c r="G441" s="30">
        <f t="shared" si="13"/>
        <v>1</v>
      </c>
      <c r="H441" s="29">
        <v>123360</v>
      </c>
      <c r="I441" s="28">
        <f t="shared" si="12"/>
        <v>123360</v>
      </c>
    </row>
    <row r="442" spans="1:9" x14ac:dyDescent="0.3">
      <c r="A442" s="30">
        <v>433</v>
      </c>
      <c r="B442" s="30"/>
      <c r="C442" s="33" t="s">
        <v>312</v>
      </c>
      <c r="D442" s="30" t="s">
        <v>88</v>
      </c>
      <c r="E442" s="30">
        <v>1</v>
      </c>
      <c r="F442" s="26"/>
      <c r="G442" s="30">
        <f t="shared" si="13"/>
        <v>1</v>
      </c>
      <c r="H442" s="29">
        <v>123360</v>
      </c>
      <c r="I442" s="28">
        <f t="shared" si="12"/>
        <v>123360</v>
      </c>
    </row>
    <row r="443" spans="1:9" x14ac:dyDescent="0.3">
      <c r="A443" s="30">
        <v>434</v>
      </c>
      <c r="B443" s="30"/>
      <c r="C443" s="33" t="s">
        <v>311</v>
      </c>
      <c r="D443" s="30" t="s">
        <v>88</v>
      </c>
      <c r="E443" s="30">
        <v>1</v>
      </c>
      <c r="F443" s="26"/>
      <c r="G443" s="30">
        <f t="shared" si="13"/>
        <v>1</v>
      </c>
      <c r="H443" s="29">
        <v>103040</v>
      </c>
      <c r="I443" s="28">
        <f t="shared" si="12"/>
        <v>103040</v>
      </c>
    </row>
    <row r="444" spans="1:9" x14ac:dyDescent="0.3">
      <c r="A444" s="30">
        <v>435</v>
      </c>
      <c r="B444" s="30"/>
      <c r="C444" s="33" t="s">
        <v>310</v>
      </c>
      <c r="D444" s="30" t="s">
        <v>88</v>
      </c>
      <c r="E444" s="30">
        <v>1</v>
      </c>
      <c r="F444" s="26"/>
      <c r="G444" s="30">
        <f t="shared" si="13"/>
        <v>1</v>
      </c>
      <c r="H444" s="29">
        <v>114560</v>
      </c>
      <c r="I444" s="28">
        <f t="shared" si="12"/>
        <v>114560</v>
      </c>
    </row>
    <row r="445" spans="1:9" x14ac:dyDescent="0.3">
      <c r="A445" s="30">
        <v>436</v>
      </c>
      <c r="B445" s="30"/>
      <c r="C445" s="33" t="s">
        <v>309</v>
      </c>
      <c r="D445" s="30" t="s">
        <v>88</v>
      </c>
      <c r="E445" s="30">
        <v>2</v>
      </c>
      <c r="F445" s="26"/>
      <c r="G445" s="30">
        <f t="shared" si="13"/>
        <v>2</v>
      </c>
      <c r="H445" s="29">
        <v>175840</v>
      </c>
      <c r="I445" s="28">
        <f t="shared" si="12"/>
        <v>351680</v>
      </c>
    </row>
    <row r="446" spans="1:9" x14ac:dyDescent="0.3">
      <c r="A446" s="30">
        <v>437</v>
      </c>
      <c r="B446" s="30"/>
      <c r="C446" s="33" t="s">
        <v>308</v>
      </c>
      <c r="D446" s="30" t="s">
        <v>88</v>
      </c>
      <c r="E446" s="30">
        <v>2</v>
      </c>
      <c r="F446" s="26"/>
      <c r="G446" s="30">
        <f t="shared" si="13"/>
        <v>2</v>
      </c>
      <c r="H446" s="29">
        <v>158080</v>
      </c>
      <c r="I446" s="28">
        <f t="shared" si="12"/>
        <v>316160</v>
      </c>
    </row>
    <row r="447" spans="1:9" x14ac:dyDescent="0.3">
      <c r="A447" s="30">
        <v>438</v>
      </c>
      <c r="B447" s="30"/>
      <c r="C447" s="33" t="s">
        <v>307</v>
      </c>
      <c r="D447" s="30" t="s">
        <v>88</v>
      </c>
      <c r="E447" s="30">
        <v>3</v>
      </c>
      <c r="F447" s="26"/>
      <c r="G447" s="30">
        <f t="shared" si="13"/>
        <v>3</v>
      </c>
      <c r="H447" s="29">
        <v>53694</v>
      </c>
      <c r="I447" s="28">
        <f t="shared" si="12"/>
        <v>161082</v>
      </c>
    </row>
    <row r="448" spans="1:9" x14ac:dyDescent="0.3">
      <c r="A448" s="30">
        <v>439</v>
      </c>
      <c r="B448" s="30"/>
      <c r="C448" s="33" t="s">
        <v>306</v>
      </c>
      <c r="D448" s="30" t="s">
        <v>88</v>
      </c>
      <c r="E448" s="30">
        <v>3</v>
      </c>
      <c r="F448" s="26"/>
      <c r="G448" s="30">
        <f t="shared" si="13"/>
        <v>3</v>
      </c>
      <c r="H448" s="29">
        <v>53694</v>
      </c>
      <c r="I448" s="28">
        <f t="shared" si="12"/>
        <v>161082</v>
      </c>
    </row>
    <row r="449" spans="1:9" x14ac:dyDescent="0.3">
      <c r="A449" s="30">
        <v>440</v>
      </c>
      <c r="B449" s="30"/>
      <c r="C449" s="33" t="s">
        <v>305</v>
      </c>
      <c r="D449" s="30" t="s">
        <v>88</v>
      </c>
      <c r="E449" s="30">
        <v>2</v>
      </c>
      <c r="F449" s="26"/>
      <c r="G449" s="30">
        <f t="shared" si="13"/>
        <v>2</v>
      </c>
      <c r="H449" s="29">
        <v>100300</v>
      </c>
      <c r="I449" s="28">
        <f t="shared" si="12"/>
        <v>200600</v>
      </c>
    </row>
    <row r="450" spans="1:9" x14ac:dyDescent="0.3">
      <c r="A450" s="30">
        <v>441</v>
      </c>
      <c r="B450" s="30"/>
      <c r="C450" s="33" t="s">
        <v>304</v>
      </c>
      <c r="D450" s="30" t="s">
        <v>88</v>
      </c>
      <c r="E450" s="30">
        <v>2</v>
      </c>
      <c r="F450" s="26"/>
      <c r="G450" s="30">
        <f t="shared" si="13"/>
        <v>2</v>
      </c>
      <c r="H450" s="29">
        <v>101209.5</v>
      </c>
      <c r="I450" s="28">
        <f t="shared" si="12"/>
        <v>202419</v>
      </c>
    </row>
    <row r="451" spans="1:9" x14ac:dyDescent="0.3">
      <c r="A451" s="30">
        <v>442</v>
      </c>
      <c r="B451" s="30"/>
      <c r="C451" s="33" t="s">
        <v>303</v>
      </c>
      <c r="D451" s="30" t="s">
        <v>88</v>
      </c>
      <c r="E451" s="30">
        <v>2</v>
      </c>
      <c r="F451" s="26"/>
      <c r="G451" s="30">
        <f t="shared" si="13"/>
        <v>2</v>
      </c>
      <c r="H451" s="29">
        <v>61600</v>
      </c>
      <c r="I451" s="28">
        <f t="shared" si="12"/>
        <v>123200</v>
      </c>
    </row>
    <row r="452" spans="1:9" x14ac:dyDescent="0.3">
      <c r="A452" s="30">
        <v>443</v>
      </c>
      <c r="B452" s="30"/>
      <c r="C452" s="33" t="s">
        <v>302</v>
      </c>
      <c r="D452" s="30" t="s">
        <v>88</v>
      </c>
      <c r="E452" s="30">
        <v>2</v>
      </c>
      <c r="F452" s="26"/>
      <c r="G452" s="30">
        <f t="shared" si="13"/>
        <v>2</v>
      </c>
      <c r="H452" s="29">
        <v>61600</v>
      </c>
      <c r="I452" s="28">
        <f t="shared" si="12"/>
        <v>123200</v>
      </c>
    </row>
    <row r="453" spans="1:9" x14ac:dyDescent="0.3">
      <c r="A453" s="30">
        <v>444</v>
      </c>
      <c r="B453" s="30"/>
      <c r="C453" s="33" t="s">
        <v>301</v>
      </c>
      <c r="D453" s="30" t="s">
        <v>88</v>
      </c>
      <c r="E453" s="30">
        <v>2</v>
      </c>
      <c r="F453" s="26"/>
      <c r="G453" s="30">
        <f t="shared" si="13"/>
        <v>2</v>
      </c>
      <c r="H453" s="29">
        <v>61600</v>
      </c>
      <c r="I453" s="28">
        <f t="shared" si="12"/>
        <v>123200</v>
      </c>
    </row>
    <row r="454" spans="1:9" x14ac:dyDescent="0.3">
      <c r="A454" s="30">
        <v>445</v>
      </c>
      <c r="B454" s="30"/>
      <c r="C454" s="33" t="s">
        <v>300</v>
      </c>
      <c r="D454" s="30" t="s">
        <v>88</v>
      </c>
      <c r="E454" s="30">
        <v>2</v>
      </c>
      <c r="F454" s="26"/>
      <c r="G454" s="30">
        <f t="shared" si="13"/>
        <v>2</v>
      </c>
      <c r="H454" s="29">
        <v>34650</v>
      </c>
      <c r="I454" s="28">
        <f t="shared" si="12"/>
        <v>69300</v>
      </c>
    </row>
    <row r="455" spans="1:9" x14ac:dyDescent="0.3">
      <c r="A455" s="30">
        <v>446</v>
      </c>
      <c r="B455" s="30"/>
      <c r="C455" s="33" t="s">
        <v>299</v>
      </c>
      <c r="D455" s="30" t="s">
        <v>88</v>
      </c>
      <c r="E455" s="30">
        <v>2</v>
      </c>
      <c r="F455" s="26"/>
      <c r="G455" s="30">
        <f t="shared" si="13"/>
        <v>2</v>
      </c>
      <c r="H455" s="29">
        <v>102410</v>
      </c>
      <c r="I455" s="28">
        <f t="shared" si="12"/>
        <v>204820</v>
      </c>
    </row>
    <row r="456" spans="1:9" x14ac:dyDescent="0.3">
      <c r="A456" s="30">
        <v>447</v>
      </c>
      <c r="B456" s="30"/>
      <c r="C456" s="33" t="s">
        <v>298</v>
      </c>
      <c r="D456" s="30" t="s">
        <v>88</v>
      </c>
      <c r="E456" s="30">
        <v>2</v>
      </c>
      <c r="F456" s="26"/>
      <c r="G456" s="30">
        <f t="shared" si="13"/>
        <v>2</v>
      </c>
      <c r="H456" s="29">
        <v>48510</v>
      </c>
      <c r="I456" s="28">
        <f t="shared" si="12"/>
        <v>97020</v>
      </c>
    </row>
    <row r="457" spans="1:9" x14ac:dyDescent="0.3">
      <c r="A457" s="30">
        <v>448</v>
      </c>
      <c r="B457" s="30"/>
      <c r="C457" s="33" t="s">
        <v>297</v>
      </c>
      <c r="D457" s="30" t="s">
        <v>88</v>
      </c>
      <c r="E457" s="30">
        <v>2</v>
      </c>
      <c r="F457" s="26"/>
      <c r="G457" s="30">
        <f t="shared" si="13"/>
        <v>2</v>
      </c>
      <c r="H457" s="29">
        <v>46970</v>
      </c>
      <c r="I457" s="28">
        <f t="shared" si="12"/>
        <v>93940</v>
      </c>
    </row>
    <row r="458" spans="1:9" x14ac:dyDescent="0.3">
      <c r="A458" s="30">
        <v>449</v>
      </c>
      <c r="B458" s="30"/>
      <c r="C458" s="33" t="s">
        <v>296</v>
      </c>
      <c r="D458" s="30" t="s">
        <v>88</v>
      </c>
      <c r="E458" s="30">
        <v>2</v>
      </c>
      <c r="F458" s="26"/>
      <c r="G458" s="30">
        <f t="shared" si="13"/>
        <v>2</v>
      </c>
      <c r="H458" s="29">
        <v>38500</v>
      </c>
      <c r="I458" s="28">
        <f t="shared" ref="I458:I521" si="14">G458*H458</f>
        <v>77000</v>
      </c>
    </row>
    <row r="459" spans="1:9" x14ac:dyDescent="0.3">
      <c r="A459" s="30">
        <v>450</v>
      </c>
      <c r="B459" s="30"/>
      <c r="C459" s="33" t="s">
        <v>295</v>
      </c>
      <c r="D459" s="30" t="s">
        <v>88</v>
      </c>
      <c r="E459" s="30">
        <v>1</v>
      </c>
      <c r="F459" s="26"/>
      <c r="G459" s="30">
        <f t="shared" ref="G459:G522" si="15">E459-F459</f>
        <v>1</v>
      </c>
      <c r="H459" s="29">
        <v>68628</v>
      </c>
      <c r="I459" s="28">
        <f t="shared" si="14"/>
        <v>68628</v>
      </c>
    </row>
    <row r="460" spans="1:9" x14ac:dyDescent="0.3">
      <c r="A460" s="30">
        <v>451</v>
      </c>
      <c r="B460" s="30"/>
      <c r="C460" s="33" t="s">
        <v>294</v>
      </c>
      <c r="D460" s="30" t="s">
        <v>88</v>
      </c>
      <c r="E460" s="30">
        <v>2</v>
      </c>
      <c r="F460" s="26"/>
      <c r="G460" s="30">
        <f t="shared" si="15"/>
        <v>2</v>
      </c>
      <c r="H460" s="29">
        <v>19000.8</v>
      </c>
      <c r="I460" s="28">
        <f t="shared" si="14"/>
        <v>38001.599999999999</v>
      </c>
    </row>
    <row r="461" spans="1:9" x14ac:dyDescent="0.3">
      <c r="A461" s="30">
        <v>452</v>
      </c>
      <c r="B461" s="30"/>
      <c r="C461" s="33" t="s">
        <v>293</v>
      </c>
      <c r="D461" s="30" t="s">
        <v>88</v>
      </c>
      <c r="E461" s="30">
        <v>1</v>
      </c>
      <c r="F461" s="26"/>
      <c r="G461" s="30">
        <f t="shared" si="15"/>
        <v>1</v>
      </c>
      <c r="H461" s="29">
        <v>15600.68</v>
      </c>
      <c r="I461" s="28">
        <f t="shared" si="14"/>
        <v>15600.68</v>
      </c>
    </row>
    <row r="462" spans="1:9" x14ac:dyDescent="0.3">
      <c r="A462" s="30">
        <v>453</v>
      </c>
      <c r="B462" s="30"/>
      <c r="C462" s="33" t="s">
        <v>292</v>
      </c>
      <c r="D462" s="30" t="s">
        <v>88</v>
      </c>
      <c r="E462" s="30">
        <v>1</v>
      </c>
      <c r="F462" s="26"/>
      <c r="G462" s="30">
        <f t="shared" si="15"/>
        <v>1</v>
      </c>
      <c r="H462" s="29">
        <v>157500</v>
      </c>
      <c r="I462" s="28">
        <f t="shared" si="14"/>
        <v>157500</v>
      </c>
    </row>
    <row r="463" spans="1:9" x14ac:dyDescent="0.3">
      <c r="A463" s="30">
        <v>454</v>
      </c>
      <c r="B463" s="30"/>
      <c r="C463" s="33" t="s">
        <v>291</v>
      </c>
      <c r="D463" s="30" t="s">
        <v>88</v>
      </c>
      <c r="E463" s="30">
        <v>1</v>
      </c>
      <c r="F463" s="26"/>
      <c r="G463" s="30">
        <f t="shared" si="15"/>
        <v>1</v>
      </c>
      <c r="H463" s="29">
        <v>26800</v>
      </c>
      <c r="I463" s="28">
        <f t="shared" si="14"/>
        <v>26800</v>
      </c>
    </row>
    <row r="464" spans="1:9" x14ac:dyDescent="0.3">
      <c r="A464" s="30">
        <v>455</v>
      </c>
      <c r="B464" s="30"/>
      <c r="C464" s="33" t="s">
        <v>290</v>
      </c>
      <c r="D464" s="30" t="s">
        <v>88</v>
      </c>
      <c r="E464" s="30">
        <v>1</v>
      </c>
      <c r="F464" s="26"/>
      <c r="G464" s="30">
        <f t="shared" si="15"/>
        <v>1</v>
      </c>
      <c r="H464" s="29">
        <v>24930</v>
      </c>
      <c r="I464" s="28">
        <f t="shared" si="14"/>
        <v>24930</v>
      </c>
    </row>
    <row r="465" spans="1:9" x14ac:dyDescent="0.3">
      <c r="A465" s="30">
        <v>456</v>
      </c>
      <c r="B465" s="30"/>
      <c r="C465" s="33" t="s">
        <v>289</v>
      </c>
      <c r="D465" s="30" t="s">
        <v>88</v>
      </c>
      <c r="E465" s="30">
        <v>1</v>
      </c>
      <c r="F465" s="26"/>
      <c r="G465" s="30">
        <f t="shared" si="15"/>
        <v>1</v>
      </c>
      <c r="H465" s="29">
        <v>24930</v>
      </c>
      <c r="I465" s="28">
        <f t="shared" si="14"/>
        <v>24930</v>
      </c>
    </row>
    <row r="466" spans="1:9" x14ac:dyDescent="0.3">
      <c r="A466" s="30">
        <v>457</v>
      </c>
      <c r="B466" s="30"/>
      <c r="C466" s="33" t="s">
        <v>288</v>
      </c>
      <c r="D466" s="30" t="s">
        <v>88</v>
      </c>
      <c r="E466" s="30">
        <v>2</v>
      </c>
      <c r="F466" s="26"/>
      <c r="G466" s="30">
        <f t="shared" si="15"/>
        <v>2</v>
      </c>
      <c r="H466" s="29">
        <v>62625</v>
      </c>
      <c r="I466" s="28">
        <f t="shared" si="14"/>
        <v>125250</v>
      </c>
    </row>
    <row r="467" spans="1:9" x14ac:dyDescent="0.3">
      <c r="A467" s="30">
        <v>458</v>
      </c>
      <c r="B467" s="30"/>
      <c r="C467" s="33" t="s">
        <v>287</v>
      </c>
      <c r="D467" s="30" t="s">
        <v>88</v>
      </c>
      <c r="E467" s="30">
        <v>1</v>
      </c>
      <c r="F467" s="26"/>
      <c r="G467" s="30">
        <f t="shared" si="15"/>
        <v>1</v>
      </c>
      <c r="H467" s="29">
        <v>31312.5</v>
      </c>
      <c r="I467" s="28">
        <f t="shared" si="14"/>
        <v>31312.5</v>
      </c>
    </row>
    <row r="468" spans="1:9" x14ac:dyDescent="0.3">
      <c r="A468" s="30">
        <v>459</v>
      </c>
      <c r="B468" s="30"/>
      <c r="C468" s="33" t="s">
        <v>286</v>
      </c>
      <c r="D468" s="30" t="s">
        <v>88</v>
      </c>
      <c r="E468" s="30">
        <v>1</v>
      </c>
      <c r="F468" s="26"/>
      <c r="G468" s="30">
        <f t="shared" si="15"/>
        <v>1</v>
      </c>
      <c r="H468" s="29">
        <v>31312.5</v>
      </c>
      <c r="I468" s="28">
        <f t="shared" si="14"/>
        <v>31312.5</v>
      </c>
    </row>
    <row r="469" spans="1:9" x14ac:dyDescent="0.3">
      <c r="A469" s="30">
        <v>460</v>
      </c>
      <c r="B469" s="30"/>
      <c r="C469" s="33" t="s">
        <v>285</v>
      </c>
      <c r="D469" s="30" t="s">
        <v>88</v>
      </c>
      <c r="E469" s="30">
        <v>1</v>
      </c>
      <c r="F469" s="26"/>
      <c r="G469" s="30">
        <f t="shared" si="15"/>
        <v>1</v>
      </c>
      <c r="H469" s="29">
        <v>31312.5</v>
      </c>
      <c r="I469" s="28">
        <f t="shared" si="14"/>
        <v>31312.5</v>
      </c>
    </row>
    <row r="470" spans="1:9" x14ac:dyDescent="0.3">
      <c r="A470" s="30">
        <v>461</v>
      </c>
      <c r="B470" s="30"/>
      <c r="C470" s="33" t="s">
        <v>284</v>
      </c>
      <c r="D470" s="30" t="s">
        <v>88</v>
      </c>
      <c r="E470" s="30">
        <v>2</v>
      </c>
      <c r="F470" s="26"/>
      <c r="G470" s="30">
        <f t="shared" si="15"/>
        <v>2</v>
      </c>
      <c r="H470" s="29">
        <v>25000</v>
      </c>
      <c r="I470" s="28">
        <f t="shared" si="14"/>
        <v>50000</v>
      </c>
    </row>
    <row r="471" spans="1:9" x14ac:dyDescent="0.3">
      <c r="A471" s="30">
        <v>462</v>
      </c>
      <c r="B471" s="30"/>
      <c r="C471" s="33" t="s">
        <v>283</v>
      </c>
      <c r="D471" s="30" t="s">
        <v>88</v>
      </c>
      <c r="E471" s="30">
        <v>4</v>
      </c>
      <c r="F471" s="26"/>
      <c r="G471" s="30">
        <f t="shared" si="15"/>
        <v>4</v>
      </c>
      <c r="H471" s="29">
        <v>10200</v>
      </c>
      <c r="I471" s="28">
        <f t="shared" si="14"/>
        <v>40800</v>
      </c>
    </row>
    <row r="472" spans="1:9" x14ac:dyDescent="0.3">
      <c r="A472" s="30">
        <v>463</v>
      </c>
      <c r="B472" s="30"/>
      <c r="C472" s="33" t="s">
        <v>282</v>
      </c>
      <c r="D472" s="30" t="s">
        <v>88</v>
      </c>
      <c r="E472" s="30">
        <v>4</v>
      </c>
      <c r="F472" s="26"/>
      <c r="G472" s="30">
        <f t="shared" si="15"/>
        <v>4</v>
      </c>
      <c r="H472" s="29">
        <v>10200</v>
      </c>
      <c r="I472" s="28">
        <f t="shared" si="14"/>
        <v>40800</v>
      </c>
    </row>
    <row r="473" spans="1:9" x14ac:dyDescent="0.3">
      <c r="A473" s="30">
        <v>464</v>
      </c>
      <c r="B473" s="30"/>
      <c r="C473" s="33" t="s">
        <v>281</v>
      </c>
      <c r="D473" s="30" t="s">
        <v>88</v>
      </c>
      <c r="E473" s="30">
        <v>8</v>
      </c>
      <c r="F473" s="26"/>
      <c r="G473" s="30">
        <f t="shared" si="15"/>
        <v>8</v>
      </c>
      <c r="H473" s="29">
        <v>20400</v>
      </c>
      <c r="I473" s="28">
        <f t="shared" si="14"/>
        <v>163200</v>
      </c>
    </row>
    <row r="474" spans="1:9" x14ac:dyDescent="0.3">
      <c r="A474" s="30">
        <v>465</v>
      </c>
      <c r="B474" s="30"/>
      <c r="C474" s="33" t="s">
        <v>280</v>
      </c>
      <c r="D474" s="30" t="s">
        <v>88</v>
      </c>
      <c r="E474" s="30">
        <v>9</v>
      </c>
      <c r="F474" s="26"/>
      <c r="G474" s="30">
        <f t="shared" si="15"/>
        <v>9</v>
      </c>
      <c r="H474" s="29">
        <v>22950</v>
      </c>
      <c r="I474" s="28">
        <f t="shared" si="14"/>
        <v>206550</v>
      </c>
    </row>
    <row r="475" spans="1:9" x14ac:dyDescent="0.3">
      <c r="A475" s="30">
        <v>466</v>
      </c>
      <c r="B475" s="30"/>
      <c r="C475" s="33" t="s">
        <v>279</v>
      </c>
      <c r="D475" s="30" t="s">
        <v>88</v>
      </c>
      <c r="E475" s="30">
        <v>6</v>
      </c>
      <c r="F475" s="26"/>
      <c r="G475" s="30">
        <f t="shared" si="15"/>
        <v>6</v>
      </c>
      <c r="H475" s="29">
        <v>20999.16</v>
      </c>
      <c r="I475" s="28">
        <f t="shared" si="14"/>
        <v>125994.95999999999</v>
      </c>
    </row>
    <row r="476" spans="1:9" x14ac:dyDescent="0.3">
      <c r="A476" s="30">
        <v>467</v>
      </c>
      <c r="B476" s="30"/>
      <c r="C476" s="33" t="s">
        <v>278</v>
      </c>
      <c r="D476" s="30" t="s">
        <v>88</v>
      </c>
      <c r="E476" s="30">
        <v>6</v>
      </c>
      <c r="F476" s="26"/>
      <c r="G476" s="30">
        <f t="shared" si="15"/>
        <v>6</v>
      </c>
      <c r="H476" s="29">
        <v>15004.2</v>
      </c>
      <c r="I476" s="28">
        <f t="shared" si="14"/>
        <v>90025.200000000012</v>
      </c>
    </row>
    <row r="477" spans="1:9" x14ac:dyDescent="0.3">
      <c r="A477" s="30">
        <v>468</v>
      </c>
      <c r="B477" s="30"/>
      <c r="C477" s="34" t="s">
        <v>277</v>
      </c>
      <c r="D477" s="30" t="s">
        <v>88</v>
      </c>
      <c r="E477" s="30">
        <v>5</v>
      </c>
      <c r="F477" s="26"/>
      <c r="G477" s="30">
        <f t="shared" si="15"/>
        <v>5</v>
      </c>
      <c r="H477" s="29">
        <v>10000</v>
      </c>
      <c r="I477" s="28">
        <f t="shared" si="14"/>
        <v>50000</v>
      </c>
    </row>
    <row r="478" spans="1:9" x14ac:dyDescent="0.3">
      <c r="A478" s="30">
        <v>469</v>
      </c>
      <c r="B478" s="30"/>
      <c r="C478" s="33" t="s">
        <v>276</v>
      </c>
      <c r="D478" s="30" t="s">
        <v>88</v>
      </c>
      <c r="E478" s="30">
        <v>6</v>
      </c>
      <c r="F478" s="26"/>
      <c r="G478" s="30">
        <f t="shared" si="15"/>
        <v>6</v>
      </c>
      <c r="H478" s="29">
        <v>20999.16</v>
      </c>
      <c r="I478" s="28">
        <f t="shared" si="14"/>
        <v>125994.95999999999</v>
      </c>
    </row>
    <row r="479" spans="1:9" x14ac:dyDescent="0.3">
      <c r="A479" s="30">
        <v>470</v>
      </c>
      <c r="B479" s="30"/>
      <c r="C479" s="33" t="s">
        <v>275</v>
      </c>
      <c r="D479" s="30" t="s">
        <v>88</v>
      </c>
      <c r="E479" s="30">
        <v>9</v>
      </c>
      <c r="F479" s="26"/>
      <c r="G479" s="30">
        <f t="shared" si="15"/>
        <v>9</v>
      </c>
      <c r="H479" s="29">
        <v>31498.74</v>
      </c>
      <c r="I479" s="28">
        <f t="shared" si="14"/>
        <v>283488.66000000003</v>
      </c>
    </row>
    <row r="480" spans="1:9" x14ac:dyDescent="0.3">
      <c r="A480" s="30">
        <v>471</v>
      </c>
      <c r="B480" s="30"/>
      <c r="C480" s="34" t="s">
        <v>274</v>
      </c>
      <c r="D480" s="30" t="s">
        <v>88</v>
      </c>
      <c r="E480" s="30">
        <v>2</v>
      </c>
      <c r="F480" s="26"/>
      <c r="G480" s="30">
        <f t="shared" si="15"/>
        <v>2</v>
      </c>
      <c r="H480" s="29">
        <v>4000</v>
      </c>
      <c r="I480" s="28">
        <f t="shared" si="14"/>
        <v>8000</v>
      </c>
    </row>
    <row r="481" spans="1:9" x14ac:dyDescent="0.3">
      <c r="A481" s="30">
        <v>472</v>
      </c>
      <c r="B481" s="30"/>
      <c r="C481" s="34" t="s">
        <v>273</v>
      </c>
      <c r="D481" s="30" t="s">
        <v>88</v>
      </c>
      <c r="E481" s="30">
        <v>3</v>
      </c>
      <c r="F481" s="26"/>
      <c r="G481" s="30">
        <f t="shared" si="15"/>
        <v>3</v>
      </c>
      <c r="H481" s="29">
        <v>6000</v>
      </c>
      <c r="I481" s="28">
        <f t="shared" si="14"/>
        <v>18000</v>
      </c>
    </row>
    <row r="482" spans="1:9" x14ac:dyDescent="0.3">
      <c r="A482" s="30">
        <v>473</v>
      </c>
      <c r="B482" s="30"/>
      <c r="C482" s="33" t="s">
        <v>272</v>
      </c>
      <c r="D482" s="30" t="s">
        <v>88</v>
      </c>
      <c r="E482" s="30">
        <v>1</v>
      </c>
      <c r="F482" s="26"/>
      <c r="G482" s="30">
        <f t="shared" si="15"/>
        <v>1</v>
      </c>
      <c r="H482" s="29">
        <v>25899.32</v>
      </c>
      <c r="I482" s="28">
        <f t="shared" si="14"/>
        <v>25899.32</v>
      </c>
    </row>
    <row r="483" spans="1:9" x14ac:dyDescent="0.3">
      <c r="A483" s="30">
        <v>474</v>
      </c>
      <c r="B483" s="30"/>
      <c r="C483" s="33" t="s">
        <v>271</v>
      </c>
      <c r="D483" s="30" t="s">
        <v>88</v>
      </c>
      <c r="E483" s="30">
        <v>2</v>
      </c>
      <c r="F483" s="26"/>
      <c r="G483" s="30">
        <f t="shared" si="15"/>
        <v>2</v>
      </c>
      <c r="H483" s="29">
        <v>51798.64</v>
      </c>
      <c r="I483" s="28">
        <f t="shared" si="14"/>
        <v>103597.28</v>
      </c>
    </row>
    <row r="484" spans="1:9" x14ac:dyDescent="0.3">
      <c r="A484" s="30">
        <v>475</v>
      </c>
      <c r="B484" s="30"/>
      <c r="C484" s="33" t="s">
        <v>270</v>
      </c>
      <c r="D484" s="30" t="s">
        <v>88</v>
      </c>
      <c r="E484" s="30">
        <v>2</v>
      </c>
      <c r="F484" s="26"/>
      <c r="G484" s="30">
        <f t="shared" si="15"/>
        <v>2</v>
      </c>
      <c r="H484" s="29">
        <v>19000.8</v>
      </c>
      <c r="I484" s="28">
        <f t="shared" si="14"/>
        <v>38001.599999999999</v>
      </c>
    </row>
    <row r="485" spans="1:9" x14ac:dyDescent="0.3">
      <c r="A485" s="30">
        <v>476</v>
      </c>
      <c r="B485" s="30"/>
      <c r="C485" s="33" t="s">
        <v>269</v>
      </c>
      <c r="D485" s="30" t="s">
        <v>88</v>
      </c>
      <c r="E485" s="30">
        <v>1</v>
      </c>
      <c r="F485" s="26"/>
      <c r="G485" s="30">
        <f t="shared" si="15"/>
        <v>1</v>
      </c>
      <c r="H485" s="29">
        <v>66521.25</v>
      </c>
      <c r="I485" s="28">
        <f t="shared" si="14"/>
        <v>66521.25</v>
      </c>
    </row>
    <row r="486" spans="1:9" x14ac:dyDescent="0.3">
      <c r="A486" s="30">
        <v>477</v>
      </c>
      <c r="B486" s="30"/>
      <c r="C486" s="33" t="s">
        <v>268</v>
      </c>
      <c r="D486" s="30" t="s">
        <v>88</v>
      </c>
      <c r="E486" s="30">
        <v>2</v>
      </c>
      <c r="F486" s="26"/>
      <c r="G486" s="30">
        <f t="shared" si="15"/>
        <v>2</v>
      </c>
      <c r="H486" s="29">
        <v>68400</v>
      </c>
      <c r="I486" s="28">
        <f t="shared" si="14"/>
        <v>136800</v>
      </c>
    </row>
    <row r="487" spans="1:9" x14ac:dyDescent="0.3">
      <c r="A487" s="30">
        <v>478</v>
      </c>
      <c r="B487" s="30"/>
      <c r="C487" s="33" t="s">
        <v>267</v>
      </c>
      <c r="D487" s="30" t="s">
        <v>88</v>
      </c>
      <c r="E487" s="30">
        <v>2</v>
      </c>
      <c r="F487" s="26"/>
      <c r="G487" s="30">
        <f t="shared" si="15"/>
        <v>2</v>
      </c>
      <c r="H487" s="29">
        <v>62625</v>
      </c>
      <c r="I487" s="28">
        <f t="shared" si="14"/>
        <v>125250</v>
      </c>
    </row>
    <row r="488" spans="1:9" x14ac:dyDescent="0.3">
      <c r="A488" s="30">
        <v>479</v>
      </c>
      <c r="B488" s="30"/>
      <c r="C488" s="33" t="s">
        <v>266</v>
      </c>
      <c r="D488" s="30" t="s">
        <v>88</v>
      </c>
      <c r="E488" s="30">
        <v>3</v>
      </c>
      <c r="F488" s="26"/>
      <c r="G488" s="30">
        <f t="shared" si="15"/>
        <v>3</v>
      </c>
      <c r="H488" s="29">
        <v>93937.5</v>
      </c>
      <c r="I488" s="28">
        <f t="shared" si="14"/>
        <v>281812.5</v>
      </c>
    </row>
    <row r="489" spans="1:9" x14ac:dyDescent="0.3">
      <c r="A489" s="30">
        <v>480</v>
      </c>
      <c r="B489" s="30"/>
      <c r="C489" s="33" t="s">
        <v>265</v>
      </c>
      <c r="D489" s="30" t="s">
        <v>88</v>
      </c>
      <c r="E489" s="30">
        <v>1</v>
      </c>
      <c r="F489" s="26"/>
      <c r="G489" s="30">
        <f t="shared" si="15"/>
        <v>1</v>
      </c>
      <c r="H489" s="29">
        <v>31312.5</v>
      </c>
      <c r="I489" s="28">
        <f t="shared" si="14"/>
        <v>31312.5</v>
      </c>
    </row>
    <row r="490" spans="1:9" x14ac:dyDescent="0.3">
      <c r="A490" s="30">
        <v>481</v>
      </c>
      <c r="B490" s="30"/>
      <c r="C490" s="33" t="s">
        <v>264</v>
      </c>
      <c r="D490" s="30" t="s">
        <v>88</v>
      </c>
      <c r="E490" s="30">
        <v>2</v>
      </c>
      <c r="F490" s="26"/>
      <c r="G490" s="30">
        <f t="shared" si="15"/>
        <v>2</v>
      </c>
      <c r="H490" s="29">
        <v>62625</v>
      </c>
      <c r="I490" s="28">
        <f t="shared" si="14"/>
        <v>125250</v>
      </c>
    </row>
    <row r="491" spans="1:9" x14ac:dyDescent="0.3">
      <c r="A491" s="30">
        <v>482</v>
      </c>
      <c r="B491" s="30"/>
      <c r="C491" s="33" t="s">
        <v>263</v>
      </c>
      <c r="D491" s="30" t="s">
        <v>88</v>
      </c>
      <c r="E491" s="30">
        <v>2</v>
      </c>
      <c r="F491" s="26"/>
      <c r="G491" s="30">
        <f t="shared" si="15"/>
        <v>2</v>
      </c>
      <c r="H491" s="29">
        <v>63900</v>
      </c>
      <c r="I491" s="28">
        <f t="shared" si="14"/>
        <v>127800</v>
      </c>
    </row>
    <row r="492" spans="1:9" x14ac:dyDescent="0.3">
      <c r="A492" s="30">
        <v>483</v>
      </c>
      <c r="B492" s="30"/>
      <c r="C492" s="33" t="s">
        <v>262</v>
      </c>
      <c r="D492" s="30" t="s">
        <v>88</v>
      </c>
      <c r="E492" s="30">
        <v>2</v>
      </c>
      <c r="F492" s="26"/>
      <c r="G492" s="30">
        <f t="shared" si="15"/>
        <v>2</v>
      </c>
      <c r="H492" s="29">
        <v>63900</v>
      </c>
      <c r="I492" s="28">
        <f t="shared" si="14"/>
        <v>127800</v>
      </c>
    </row>
    <row r="493" spans="1:9" x14ac:dyDescent="0.3">
      <c r="A493" s="30">
        <v>484</v>
      </c>
      <c r="B493" s="30"/>
      <c r="C493" s="33" t="s">
        <v>261</v>
      </c>
      <c r="D493" s="30" t="s">
        <v>88</v>
      </c>
      <c r="E493" s="30">
        <v>2</v>
      </c>
      <c r="F493" s="26"/>
      <c r="G493" s="30">
        <f t="shared" si="15"/>
        <v>2</v>
      </c>
      <c r="H493" s="29">
        <v>70210</v>
      </c>
      <c r="I493" s="28">
        <f t="shared" si="14"/>
        <v>140420</v>
      </c>
    </row>
    <row r="494" spans="1:9" x14ac:dyDescent="0.3">
      <c r="A494" s="30">
        <v>485</v>
      </c>
      <c r="B494" s="30"/>
      <c r="C494" s="33" t="s">
        <v>260</v>
      </c>
      <c r="D494" s="30" t="s">
        <v>88</v>
      </c>
      <c r="E494" s="30">
        <v>2</v>
      </c>
      <c r="F494" s="26"/>
      <c r="G494" s="30">
        <f t="shared" si="15"/>
        <v>2</v>
      </c>
      <c r="H494" s="29">
        <v>65790</v>
      </c>
      <c r="I494" s="28">
        <f t="shared" si="14"/>
        <v>131580</v>
      </c>
    </row>
    <row r="495" spans="1:9" x14ac:dyDescent="0.3">
      <c r="A495" s="30">
        <v>486</v>
      </c>
      <c r="B495" s="30"/>
      <c r="C495" s="33" t="s">
        <v>259</v>
      </c>
      <c r="D495" s="30" t="s">
        <v>88</v>
      </c>
      <c r="E495" s="30">
        <v>2</v>
      </c>
      <c r="F495" s="26"/>
      <c r="G495" s="30">
        <f t="shared" si="15"/>
        <v>2</v>
      </c>
      <c r="H495" s="29">
        <v>43690</v>
      </c>
      <c r="I495" s="28">
        <f t="shared" si="14"/>
        <v>87380</v>
      </c>
    </row>
    <row r="496" spans="1:9" x14ac:dyDescent="0.3">
      <c r="A496" s="30">
        <v>487</v>
      </c>
      <c r="B496" s="30"/>
      <c r="C496" s="33" t="s">
        <v>258</v>
      </c>
      <c r="D496" s="30" t="s">
        <v>88</v>
      </c>
      <c r="E496" s="30">
        <v>2</v>
      </c>
      <c r="F496" s="26"/>
      <c r="G496" s="30">
        <f t="shared" si="15"/>
        <v>2</v>
      </c>
      <c r="H496" s="29">
        <v>155550</v>
      </c>
      <c r="I496" s="28">
        <f t="shared" si="14"/>
        <v>311100</v>
      </c>
    </row>
    <row r="497" spans="1:9" x14ac:dyDescent="0.3">
      <c r="A497" s="30">
        <v>488</v>
      </c>
      <c r="B497" s="30"/>
      <c r="C497" s="33" t="s">
        <v>257</v>
      </c>
      <c r="D497" s="30" t="s">
        <v>88</v>
      </c>
      <c r="E497" s="30">
        <v>1</v>
      </c>
      <c r="F497" s="26"/>
      <c r="G497" s="30">
        <f t="shared" si="15"/>
        <v>1</v>
      </c>
      <c r="H497" s="29">
        <v>74250</v>
      </c>
      <c r="I497" s="28">
        <f t="shared" si="14"/>
        <v>74250</v>
      </c>
    </row>
    <row r="498" spans="1:9" x14ac:dyDescent="0.3">
      <c r="A498" s="30">
        <v>489</v>
      </c>
      <c r="B498" s="30"/>
      <c r="C498" s="33" t="s">
        <v>256</v>
      </c>
      <c r="D498" s="30" t="s">
        <v>88</v>
      </c>
      <c r="E498" s="30">
        <v>1</v>
      </c>
      <c r="F498" s="26"/>
      <c r="G498" s="30">
        <f t="shared" si="15"/>
        <v>1</v>
      </c>
      <c r="H498" s="29">
        <v>66750</v>
      </c>
      <c r="I498" s="28">
        <f t="shared" si="14"/>
        <v>66750</v>
      </c>
    </row>
    <row r="499" spans="1:9" x14ac:dyDescent="0.3">
      <c r="A499" s="30">
        <v>490</v>
      </c>
      <c r="B499" s="30"/>
      <c r="C499" s="33" t="s">
        <v>255</v>
      </c>
      <c r="D499" s="30" t="s">
        <v>88</v>
      </c>
      <c r="E499" s="30">
        <v>1</v>
      </c>
      <c r="F499" s="26"/>
      <c r="G499" s="30">
        <f t="shared" si="15"/>
        <v>1</v>
      </c>
      <c r="H499" s="29">
        <v>74250</v>
      </c>
      <c r="I499" s="28">
        <f t="shared" si="14"/>
        <v>74250</v>
      </c>
    </row>
    <row r="500" spans="1:9" x14ac:dyDescent="0.3">
      <c r="A500" s="30">
        <v>491</v>
      </c>
      <c r="B500" s="30"/>
      <c r="C500" s="33" t="s">
        <v>254</v>
      </c>
      <c r="D500" s="30" t="s">
        <v>88</v>
      </c>
      <c r="E500" s="30">
        <v>1</v>
      </c>
      <c r="F500" s="26"/>
      <c r="G500" s="30">
        <f t="shared" si="15"/>
        <v>1</v>
      </c>
      <c r="H500" s="29">
        <v>49000</v>
      </c>
      <c r="I500" s="28">
        <f t="shared" si="14"/>
        <v>49000</v>
      </c>
    </row>
    <row r="501" spans="1:9" x14ac:dyDescent="0.3">
      <c r="A501" s="30">
        <v>492</v>
      </c>
      <c r="B501" s="30"/>
      <c r="C501" s="33" t="s">
        <v>253</v>
      </c>
      <c r="D501" s="30" t="s">
        <v>88</v>
      </c>
      <c r="E501" s="30">
        <v>1</v>
      </c>
      <c r="F501" s="26"/>
      <c r="G501" s="30">
        <f t="shared" si="15"/>
        <v>1</v>
      </c>
      <c r="H501" s="29">
        <v>49000</v>
      </c>
      <c r="I501" s="28">
        <f t="shared" si="14"/>
        <v>49000</v>
      </c>
    </row>
    <row r="502" spans="1:9" x14ac:dyDescent="0.3">
      <c r="A502" s="30">
        <v>493</v>
      </c>
      <c r="B502" s="30"/>
      <c r="C502" s="33" t="s">
        <v>252</v>
      </c>
      <c r="D502" s="30" t="s">
        <v>88</v>
      </c>
      <c r="E502" s="30">
        <v>1</v>
      </c>
      <c r="F502" s="26"/>
      <c r="G502" s="30">
        <f t="shared" si="15"/>
        <v>1</v>
      </c>
      <c r="H502" s="29">
        <v>49000</v>
      </c>
      <c r="I502" s="28">
        <f t="shared" si="14"/>
        <v>49000</v>
      </c>
    </row>
    <row r="503" spans="1:9" x14ac:dyDescent="0.3">
      <c r="A503" s="30">
        <v>494</v>
      </c>
      <c r="B503" s="30"/>
      <c r="C503" s="33" t="s">
        <v>251</v>
      </c>
      <c r="D503" s="30" t="s">
        <v>88</v>
      </c>
      <c r="E503" s="30">
        <v>1</v>
      </c>
      <c r="F503" s="26"/>
      <c r="G503" s="30">
        <f t="shared" si="15"/>
        <v>1</v>
      </c>
      <c r="H503" s="29">
        <v>49000</v>
      </c>
      <c r="I503" s="28">
        <f t="shared" si="14"/>
        <v>49000</v>
      </c>
    </row>
    <row r="504" spans="1:9" x14ac:dyDescent="0.3">
      <c r="A504" s="30">
        <v>495</v>
      </c>
      <c r="B504" s="30"/>
      <c r="C504" s="33" t="s">
        <v>250</v>
      </c>
      <c r="D504" s="30" t="s">
        <v>88</v>
      </c>
      <c r="E504" s="30">
        <v>1</v>
      </c>
      <c r="F504" s="26"/>
      <c r="G504" s="30">
        <f t="shared" si="15"/>
        <v>1</v>
      </c>
      <c r="H504" s="29">
        <v>49000</v>
      </c>
      <c r="I504" s="28">
        <f t="shared" si="14"/>
        <v>49000</v>
      </c>
    </row>
    <row r="505" spans="1:9" x14ac:dyDescent="0.3">
      <c r="A505" s="30">
        <v>496</v>
      </c>
      <c r="B505" s="30"/>
      <c r="C505" s="33" t="s">
        <v>249</v>
      </c>
      <c r="D505" s="30" t="s">
        <v>88</v>
      </c>
      <c r="E505" s="30">
        <v>1</v>
      </c>
      <c r="F505" s="26"/>
      <c r="G505" s="30">
        <f t="shared" si="15"/>
        <v>1</v>
      </c>
      <c r="H505" s="29">
        <v>49000</v>
      </c>
      <c r="I505" s="28">
        <f t="shared" si="14"/>
        <v>49000</v>
      </c>
    </row>
    <row r="506" spans="1:9" x14ac:dyDescent="0.3">
      <c r="A506" s="30">
        <v>497</v>
      </c>
      <c r="B506" s="30"/>
      <c r="C506" s="33" t="s">
        <v>248</v>
      </c>
      <c r="D506" s="30" t="s">
        <v>88</v>
      </c>
      <c r="E506" s="30">
        <v>1</v>
      </c>
      <c r="F506" s="26"/>
      <c r="G506" s="30">
        <f t="shared" si="15"/>
        <v>1</v>
      </c>
      <c r="H506" s="29">
        <v>49000</v>
      </c>
      <c r="I506" s="28">
        <f t="shared" si="14"/>
        <v>49000</v>
      </c>
    </row>
    <row r="507" spans="1:9" x14ac:dyDescent="0.3">
      <c r="A507" s="30">
        <v>498</v>
      </c>
      <c r="B507" s="30"/>
      <c r="C507" s="33" t="s">
        <v>247</v>
      </c>
      <c r="D507" s="30" t="s">
        <v>88</v>
      </c>
      <c r="E507" s="30">
        <v>1</v>
      </c>
      <c r="F507" s="26"/>
      <c r="G507" s="30">
        <f t="shared" si="15"/>
        <v>1</v>
      </c>
      <c r="H507" s="29">
        <v>49000</v>
      </c>
      <c r="I507" s="28">
        <f t="shared" si="14"/>
        <v>49000</v>
      </c>
    </row>
    <row r="508" spans="1:9" x14ac:dyDescent="0.3">
      <c r="A508" s="30">
        <v>499</v>
      </c>
      <c r="B508" s="30"/>
      <c r="C508" s="33" t="s">
        <v>246</v>
      </c>
      <c r="D508" s="30" t="s">
        <v>88</v>
      </c>
      <c r="E508" s="30">
        <v>1</v>
      </c>
      <c r="F508" s="26"/>
      <c r="G508" s="30">
        <f t="shared" si="15"/>
        <v>1</v>
      </c>
      <c r="H508" s="29">
        <v>49000</v>
      </c>
      <c r="I508" s="28">
        <f t="shared" si="14"/>
        <v>49000</v>
      </c>
    </row>
    <row r="509" spans="1:9" x14ac:dyDescent="0.3">
      <c r="A509" s="30">
        <v>500</v>
      </c>
      <c r="B509" s="30"/>
      <c r="C509" s="33" t="s">
        <v>245</v>
      </c>
      <c r="D509" s="30" t="s">
        <v>88</v>
      </c>
      <c r="E509" s="30">
        <v>2</v>
      </c>
      <c r="F509" s="26"/>
      <c r="G509" s="30">
        <f t="shared" si="15"/>
        <v>2</v>
      </c>
      <c r="H509" s="29">
        <v>98000</v>
      </c>
      <c r="I509" s="28">
        <f t="shared" si="14"/>
        <v>196000</v>
      </c>
    </row>
    <row r="510" spans="1:9" x14ac:dyDescent="0.3">
      <c r="A510" s="30">
        <v>501</v>
      </c>
      <c r="B510" s="30"/>
      <c r="C510" s="33" t="s">
        <v>244</v>
      </c>
      <c r="D510" s="30" t="s">
        <v>88</v>
      </c>
      <c r="E510" s="30">
        <v>5</v>
      </c>
      <c r="F510" s="26"/>
      <c r="G510" s="30">
        <f t="shared" si="15"/>
        <v>5</v>
      </c>
      <c r="H510" s="29">
        <v>237500</v>
      </c>
      <c r="I510" s="28">
        <f t="shared" si="14"/>
        <v>1187500</v>
      </c>
    </row>
    <row r="511" spans="1:9" x14ac:dyDescent="0.3">
      <c r="A511" s="30">
        <v>502</v>
      </c>
      <c r="B511" s="30"/>
      <c r="C511" s="33" t="s">
        <v>243</v>
      </c>
      <c r="D511" s="30" t="s">
        <v>88</v>
      </c>
      <c r="E511" s="30">
        <v>5</v>
      </c>
      <c r="F511" s="26"/>
      <c r="G511" s="30">
        <f t="shared" si="15"/>
        <v>5</v>
      </c>
      <c r="H511" s="29">
        <v>237500</v>
      </c>
      <c r="I511" s="28">
        <f t="shared" si="14"/>
        <v>1187500</v>
      </c>
    </row>
    <row r="512" spans="1:9" x14ac:dyDescent="0.3">
      <c r="A512" s="30">
        <v>503</v>
      </c>
      <c r="B512" s="30"/>
      <c r="C512" s="33" t="s">
        <v>242</v>
      </c>
      <c r="D512" s="30" t="s">
        <v>88</v>
      </c>
      <c r="E512" s="30">
        <v>3</v>
      </c>
      <c r="F512" s="26"/>
      <c r="G512" s="30">
        <f t="shared" si="15"/>
        <v>3</v>
      </c>
      <c r="H512" s="29">
        <v>224400</v>
      </c>
      <c r="I512" s="28">
        <f t="shared" si="14"/>
        <v>673200</v>
      </c>
    </row>
    <row r="513" spans="1:9" x14ac:dyDescent="0.3">
      <c r="A513" s="30">
        <v>504</v>
      </c>
      <c r="B513" s="30"/>
      <c r="C513" s="33" t="s">
        <v>241</v>
      </c>
      <c r="D513" s="30" t="s">
        <v>88</v>
      </c>
      <c r="E513" s="30">
        <v>5</v>
      </c>
      <c r="F513" s="26"/>
      <c r="G513" s="30">
        <f t="shared" si="15"/>
        <v>5</v>
      </c>
      <c r="H513" s="29">
        <v>333750</v>
      </c>
      <c r="I513" s="28">
        <f t="shared" si="14"/>
        <v>1668750</v>
      </c>
    </row>
    <row r="514" spans="1:9" x14ac:dyDescent="0.3">
      <c r="A514" s="30">
        <v>505</v>
      </c>
      <c r="B514" s="30"/>
      <c r="C514" s="33" t="s">
        <v>240</v>
      </c>
      <c r="D514" s="30" t="s">
        <v>88</v>
      </c>
      <c r="E514" s="30">
        <v>1</v>
      </c>
      <c r="F514" s="26"/>
      <c r="G514" s="30">
        <f t="shared" si="15"/>
        <v>1</v>
      </c>
      <c r="H514" s="29">
        <v>24255</v>
      </c>
      <c r="I514" s="28">
        <f t="shared" si="14"/>
        <v>24255</v>
      </c>
    </row>
    <row r="515" spans="1:9" x14ac:dyDescent="0.3">
      <c r="A515" s="30">
        <v>506</v>
      </c>
      <c r="B515" s="30"/>
      <c r="C515" s="33" t="s">
        <v>239</v>
      </c>
      <c r="D515" s="30" t="s">
        <v>88</v>
      </c>
      <c r="E515" s="30">
        <v>3</v>
      </c>
      <c r="F515" s="26"/>
      <c r="G515" s="30">
        <f t="shared" si="15"/>
        <v>3</v>
      </c>
      <c r="H515" s="29">
        <v>86625</v>
      </c>
      <c r="I515" s="28">
        <f t="shared" si="14"/>
        <v>259875</v>
      </c>
    </row>
    <row r="516" spans="1:9" x14ac:dyDescent="0.3">
      <c r="A516" s="30">
        <v>507</v>
      </c>
      <c r="B516" s="30"/>
      <c r="C516" s="33" t="s">
        <v>238</v>
      </c>
      <c r="D516" s="30" t="s">
        <v>88</v>
      </c>
      <c r="E516" s="30">
        <v>1</v>
      </c>
      <c r="F516" s="26"/>
      <c r="G516" s="30">
        <f t="shared" si="15"/>
        <v>1</v>
      </c>
      <c r="H516" s="29">
        <v>48356</v>
      </c>
      <c r="I516" s="28">
        <f t="shared" si="14"/>
        <v>48356</v>
      </c>
    </row>
    <row r="517" spans="1:9" x14ac:dyDescent="0.3">
      <c r="A517" s="30">
        <v>508</v>
      </c>
      <c r="B517" s="30"/>
      <c r="C517" s="33" t="s">
        <v>237</v>
      </c>
      <c r="D517" s="30" t="s">
        <v>88</v>
      </c>
      <c r="E517" s="30">
        <v>2</v>
      </c>
      <c r="F517" s="26"/>
      <c r="G517" s="30">
        <f t="shared" si="15"/>
        <v>2</v>
      </c>
      <c r="H517" s="29">
        <v>96712</v>
      </c>
      <c r="I517" s="28">
        <f t="shared" si="14"/>
        <v>193424</v>
      </c>
    </row>
    <row r="518" spans="1:9" x14ac:dyDescent="0.3">
      <c r="A518" s="30">
        <v>509</v>
      </c>
      <c r="B518" s="30"/>
      <c r="C518" s="33" t="s">
        <v>236</v>
      </c>
      <c r="D518" s="30" t="s">
        <v>88</v>
      </c>
      <c r="E518" s="30">
        <v>2</v>
      </c>
      <c r="F518" s="26"/>
      <c r="G518" s="30">
        <f t="shared" si="15"/>
        <v>2</v>
      </c>
      <c r="H518" s="29">
        <v>66990</v>
      </c>
      <c r="I518" s="28">
        <f t="shared" si="14"/>
        <v>133980</v>
      </c>
    </row>
    <row r="519" spans="1:9" x14ac:dyDescent="0.3">
      <c r="A519" s="30">
        <v>510</v>
      </c>
      <c r="B519" s="30"/>
      <c r="C519" s="33" t="s">
        <v>235</v>
      </c>
      <c r="D519" s="30" t="s">
        <v>88</v>
      </c>
      <c r="E519" s="30">
        <v>3</v>
      </c>
      <c r="F519" s="26"/>
      <c r="G519" s="30">
        <f t="shared" si="15"/>
        <v>3</v>
      </c>
      <c r="H519" s="29">
        <v>100485</v>
      </c>
      <c r="I519" s="28">
        <f t="shared" si="14"/>
        <v>301455</v>
      </c>
    </row>
    <row r="520" spans="1:9" x14ac:dyDescent="0.3">
      <c r="A520" s="30">
        <v>511</v>
      </c>
      <c r="B520" s="30"/>
      <c r="C520" s="33" t="s">
        <v>234</v>
      </c>
      <c r="D520" s="30" t="s">
        <v>88</v>
      </c>
      <c r="E520" s="30">
        <v>3</v>
      </c>
      <c r="F520" s="26"/>
      <c r="G520" s="30">
        <f t="shared" si="15"/>
        <v>3</v>
      </c>
      <c r="H520" s="29">
        <v>157080</v>
      </c>
      <c r="I520" s="28">
        <f t="shared" si="14"/>
        <v>471240</v>
      </c>
    </row>
    <row r="521" spans="1:9" x14ac:dyDescent="0.3">
      <c r="A521" s="30">
        <v>512</v>
      </c>
      <c r="B521" s="30"/>
      <c r="C521" s="33" t="s">
        <v>233</v>
      </c>
      <c r="D521" s="30" t="s">
        <v>88</v>
      </c>
      <c r="E521" s="30">
        <v>2</v>
      </c>
      <c r="F521" s="26"/>
      <c r="G521" s="30">
        <f t="shared" si="15"/>
        <v>2</v>
      </c>
      <c r="H521" s="29">
        <v>123970</v>
      </c>
      <c r="I521" s="28">
        <f t="shared" si="14"/>
        <v>247940</v>
      </c>
    </row>
    <row r="522" spans="1:9" x14ac:dyDescent="0.3">
      <c r="A522" s="30">
        <v>513</v>
      </c>
      <c r="B522" s="30"/>
      <c r="C522" s="33" t="s">
        <v>232</v>
      </c>
      <c r="D522" s="30" t="s">
        <v>88</v>
      </c>
      <c r="E522" s="30">
        <v>5</v>
      </c>
      <c r="F522" s="26"/>
      <c r="G522" s="30">
        <f t="shared" si="15"/>
        <v>5</v>
      </c>
      <c r="H522" s="29">
        <v>161700</v>
      </c>
      <c r="I522" s="28">
        <f t="shared" ref="I522:I585" si="16">G522*H522</f>
        <v>808500</v>
      </c>
    </row>
    <row r="523" spans="1:9" x14ac:dyDescent="0.3">
      <c r="A523" s="30">
        <v>514</v>
      </c>
      <c r="B523" s="30"/>
      <c r="C523" s="33" t="s">
        <v>231</v>
      </c>
      <c r="D523" s="30" t="s">
        <v>88</v>
      </c>
      <c r="E523" s="30">
        <v>2</v>
      </c>
      <c r="F523" s="26"/>
      <c r="G523" s="30">
        <f t="shared" ref="G523:G586" si="17">E523-F523</f>
        <v>2</v>
      </c>
      <c r="H523" s="29">
        <v>97790</v>
      </c>
      <c r="I523" s="28">
        <f t="shared" si="16"/>
        <v>195580</v>
      </c>
    </row>
    <row r="524" spans="1:9" x14ac:dyDescent="0.3">
      <c r="A524" s="30">
        <v>515</v>
      </c>
      <c r="B524" s="30"/>
      <c r="C524" s="33" t="s">
        <v>230</v>
      </c>
      <c r="D524" s="30" t="s">
        <v>88</v>
      </c>
      <c r="E524" s="30">
        <v>2</v>
      </c>
      <c r="F524" s="26"/>
      <c r="G524" s="30">
        <f t="shared" si="17"/>
        <v>2</v>
      </c>
      <c r="H524" s="29">
        <v>97790</v>
      </c>
      <c r="I524" s="28">
        <f t="shared" si="16"/>
        <v>195580</v>
      </c>
    </row>
    <row r="525" spans="1:9" x14ac:dyDescent="0.3">
      <c r="A525" s="30">
        <v>516</v>
      </c>
      <c r="B525" s="30"/>
      <c r="C525" s="33" t="s">
        <v>229</v>
      </c>
      <c r="D525" s="30" t="s">
        <v>88</v>
      </c>
      <c r="E525" s="30">
        <v>2</v>
      </c>
      <c r="F525" s="26"/>
      <c r="G525" s="30">
        <f t="shared" si="17"/>
        <v>2</v>
      </c>
      <c r="H525" s="29">
        <v>97790</v>
      </c>
      <c r="I525" s="28">
        <f t="shared" si="16"/>
        <v>195580</v>
      </c>
    </row>
    <row r="526" spans="1:9" x14ac:dyDescent="0.3">
      <c r="A526" s="30">
        <v>517</v>
      </c>
      <c r="B526" s="30"/>
      <c r="C526" s="33" t="s">
        <v>228</v>
      </c>
      <c r="D526" s="30" t="s">
        <v>88</v>
      </c>
      <c r="E526" s="30">
        <v>2</v>
      </c>
      <c r="F526" s="26"/>
      <c r="G526" s="30">
        <f t="shared" si="17"/>
        <v>2</v>
      </c>
      <c r="H526" s="29">
        <v>97790</v>
      </c>
      <c r="I526" s="28">
        <f t="shared" si="16"/>
        <v>195580</v>
      </c>
    </row>
    <row r="527" spans="1:9" x14ac:dyDescent="0.3">
      <c r="A527" s="30">
        <v>518</v>
      </c>
      <c r="B527" s="30"/>
      <c r="C527" s="33" t="s">
        <v>227</v>
      </c>
      <c r="D527" s="30" t="s">
        <v>88</v>
      </c>
      <c r="E527" s="30">
        <v>2</v>
      </c>
      <c r="F527" s="26"/>
      <c r="G527" s="30">
        <f t="shared" si="17"/>
        <v>2</v>
      </c>
      <c r="H527" s="29">
        <v>97790</v>
      </c>
      <c r="I527" s="28">
        <f t="shared" si="16"/>
        <v>195580</v>
      </c>
    </row>
    <row r="528" spans="1:9" x14ac:dyDescent="0.3">
      <c r="A528" s="30">
        <v>519</v>
      </c>
      <c r="B528" s="30"/>
      <c r="C528" s="33" t="s">
        <v>226</v>
      </c>
      <c r="D528" s="30" t="s">
        <v>88</v>
      </c>
      <c r="E528" s="30">
        <v>2</v>
      </c>
      <c r="F528" s="26"/>
      <c r="G528" s="30">
        <f t="shared" si="17"/>
        <v>2</v>
      </c>
      <c r="H528" s="29">
        <v>97790</v>
      </c>
      <c r="I528" s="28">
        <f t="shared" si="16"/>
        <v>195580</v>
      </c>
    </row>
    <row r="529" spans="1:9" x14ac:dyDescent="0.3">
      <c r="A529" s="30">
        <v>520</v>
      </c>
      <c r="B529" s="30"/>
      <c r="C529" s="33" t="s">
        <v>225</v>
      </c>
      <c r="D529" s="30" t="s">
        <v>88</v>
      </c>
      <c r="E529" s="30">
        <v>2</v>
      </c>
      <c r="F529" s="26"/>
      <c r="G529" s="30">
        <f t="shared" si="17"/>
        <v>2</v>
      </c>
      <c r="H529" s="29">
        <v>97790</v>
      </c>
      <c r="I529" s="28">
        <f t="shared" si="16"/>
        <v>195580</v>
      </c>
    </row>
    <row r="530" spans="1:9" x14ac:dyDescent="0.3">
      <c r="A530" s="30">
        <v>521</v>
      </c>
      <c r="B530" s="30"/>
      <c r="C530" s="33" t="s">
        <v>224</v>
      </c>
      <c r="D530" s="30" t="s">
        <v>88</v>
      </c>
      <c r="E530" s="30">
        <v>4</v>
      </c>
      <c r="F530" s="26"/>
      <c r="G530" s="30">
        <f t="shared" si="17"/>
        <v>4</v>
      </c>
      <c r="H530" s="29">
        <v>123200</v>
      </c>
      <c r="I530" s="28">
        <f t="shared" si="16"/>
        <v>492800</v>
      </c>
    </row>
    <row r="531" spans="1:9" x14ac:dyDescent="0.3">
      <c r="A531" s="30">
        <v>522</v>
      </c>
      <c r="B531" s="30"/>
      <c r="C531" s="33" t="s">
        <v>223</v>
      </c>
      <c r="D531" s="30" t="s">
        <v>88</v>
      </c>
      <c r="E531" s="30">
        <v>1</v>
      </c>
      <c r="F531" s="26"/>
      <c r="G531" s="30">
        <f t="shared" si="17"/>
        <v>1</v>
      </c>
      <c r="H531" s="29">
        <v>23600</v>
      </c>
      <c r="I531" s="28">
        <f t="shared" si="16"/>
        <v>23600</v>
      </c>
    </row>
    <row r="532" spans="1:9" x14ac:dyDescent="0.3">
      <c r="A532" s="30">
        <v>523</v>
      </c>
      <c r="B532" s="30"/>
      <c r="C532" s="33" t="s">
        <v>222</v>
      </c>
      <c r="D532" s="30" t="s">
        <v>88</v>
      </c>
      <c r="E532" s="30">
        <v>1</v>
      </c>
      <c r="F532" s="26"/>
      <c r="G532" s="30">
        <f t="shared" si="17"/>
        <v>1</v>
      </c>
      <c r="H532" s="29">
        <v>23600</v>
      </c>
      <c r="I532" s="28">
        <f t="shared" si="16"/>
        <v>23600</v>
      </c>
    </row>
    <row r="533" spans="1:9" x14ac:dyDescent="0.3">
      <c r="A533" s="30">
        <v>524</v>
      </c>
      <c r="B533" s="30"/>
      <c r="C533" s="33" t="s">
        <v>221</v>
      </c>
      <c r="D533" s="30" t="s">
        <v>88</v>
      </c>
      <c r="E533" s="30">
        <v>2</v>
      </c>
      <c r="F533" s="26"/>
      <c r="G533" s="30">
        <f t="shared" si="17"/>
        <v>2</v>
      </c>
      <c r="H533" s="29">
        <v>47200</v>
      </c>
      <c r="I533" s="28">
        <f t="shared" si="16"/>
        <v>94400</v>
      </c>
    </row>
    <row r="534" spans="1:9" x14ac:dyDescent="0.3">
      <c r="A534" s="30">
        <v>525</v>
      </c>
      <c r="B534" s="30"/>
      <c r="C534" s="33" t="s">
        <v>220</v>
      </c>
      <c r="D534" s="30" t="s">
        <v>88</v>
      </c>
      <c r="E534" s="30">
        <v>6</v>
      </c>
      <c r="F534" s="26"/>
      <c r="G534" s="30">
        <f t="shared" si="17"/>
        <v>6</v>
      </c>
      <c r="H534" s="29">
        <v>120000</v>
      </c>
      <c r="I534" s="28">
        <f t="shared" si="16"/>
        <v>720000</v>
      </c>
    </row>
    <row r="535" spans="1:9" x14ac:dyDescent="0.3">
      <c r="A535" s="30">
        <v>526</v>
      </c>
      <c r="B535" s="30"/>
      <c r="C535" s="33" t="s">
        <v>219</v>
      </c>
      <c r="D535" s="30" t="s">
        <v>88</v>
      </c>
      <c r="E535" s="30">
        <v>6</v>
      </c>
      <c r="F535" s="26"/>
      <c r="G535" s="30">
        <f t="shared" si="17"/>
        <v>6</v>
      </c>
      <c r="H535" s="29">
        <v>69600</v>
      </c>
      <c r="I535" s="28">
        <f t="shared" si="16"/>
        <v>417600</v>
      </c>
    </row>
    <row r="536" spans="1:9" x14ac:dyDescent="0.3">
      <c r="A536" s="30">
        <v>527</v>
      </c>
      <c r="B536" s="30"/>
      <c r="C536" s="33" t="s">
        <v>218</v>
      </c>
      <c r="D536" s="30" t="s">
        <v>88</v>
      </c>
      <c r="E536" s="30">
        <v>3</v>
      </c>
      <c r="F536" s="26"/>
      <c r="G536" s="30">
        <f t="shared" si="17"/>
        <v>3</v>
      </c>
      <c r="H536" s="29">
        <v>12693.45</v>
      </c>
      <c r="I536" s="28">
        <f t="shared" si="16"/>
        <v>38080.350000000006</v>
      </c>
    </row>
    <row r="537" spans="1:9" x14ac:dyDescent="0.3">
      <c r="A537" s="30">
        <v>528</v>
      </c>
      <c r="B537" s="30"/>
      <c r="C537" s="33" t="s">
        <v>217</v>
      </c>
      <c r="D537" s="30" t="s">
        <v>88</v>
      </c>
      <c r="E537" s="30">
        <v>1</v>
      </c>
      <c r="F537" s="26"/>
      <c r="G537" s="30">
        <f t="shared" si="17"/>
        <v>1</v>
      </c>
      <c r="H537" s="29">
        <v>111200</v>
      </c>
      <c r="I537" s="28">
        <f t="shared" si="16"/>
        <v>111200</v>
      </c>
    </row>
    <row r="538" spans="1:9" x14ac:dyDescent="0.3">
      <c r="A538" s="30">
        <v>529</v>
      </c>
      <c r="B538" s="30"/>
      <c r="C538" s="33" t="s">
        <v>216</v>
      </c>
      <c r="D538" s="30" t="s">
        <v>88</v>
      </c>
      <c r="E538" s="30">
        <v>1</v>
      </c>
      <c r="F538" s="26"/>
      <c r="G538" s="30">
        <f t="shared" si="17"/>
        <v>1</v>
      </c>
      <c r="H538" s="29">
        <v>103200</v>
      </c>
      <c r="I538" s="28">
        <f t="shared" si="16"/>
        <v>103200</v>
      </c>
    </row>
    <row r="539" spans="1:9" x14ac:dyDescent="0.3">
      <c r="A539" s="30">
        <v>530</v>
      </c>
      <c r="B539" s="30"/>
      <c r="C539" s="33" t="s">
        <v>215</v>
      </c>
      <c r="D539" s="30" t="s">
        <v>88</v>
      </c>
      <c r="E539" s="30">
        <v>1</v>
      </c>
      <c r="F539" s="26"/>
      <c r="G539" s="30">
        <f t="shared" si="17"/>
        <v>1</v>
      </c>
      <c r="H539" s="29">
        <v>100000</v>
      </c>
      <c r="I539" s="28">
        <f t="shared" si="16"/>
        <v>100000</v>
      </c>
    </row>
    <row r="540" spans="1:9" x14ac:dyDescent="0.3">
      <c r="A540" s="30">
        <v>531</v>
      </c>
      <c r="B540" s="30"/>
      <c r="C540" s="33" t="s">
        <v>214</v>
      </c>
      <c r="D540" s="30" t="s">
        <v>88</v>
      </c>
      <c r="E540" s="30">
        <v>1</v>
      </c>
      <c r="F540" s="26"/>
      <c r="G540" s="30">
        <f t="shared" si="17"/>
        <v>1</v>
      </c>
      <c r="H540" s="29">
        <v>102858</v>
      </c>
      <c r="I540" s="28">
        <f t="shared" si="16"/>
        <v>102858</v>
      </c>
    </row>
    <row r="541" spans="1:9" x14ac:dyDescent="0.3">
      <c r="A541" s="30">
        <v>532</v>
      </c>
      <c r="B541" s="30"/>
      <c r="C541" s="33" t="s">
        <v>213</v>
      </c>
      <c r="D541" s="30" t="s">
        <v>88</v>
      </c>
      <c r="E541" s="30">
        <v>1</v>
      </c>
      <c r="F541" s="26"/>
      <c r="G541" s="30">
        <f t="shared" si="17"/>
        <v>1</v>
      </c>
      <c r="H541" s="29">
        <v>124425</v>
      </c>
      <c r="I541" s="28">
        <f t="shared" si="16"/>
        <v>124425</v>
      </c>
    </row>
    <row r="542" spans="1:9" x14ac:dyDescent="0.3">
      <c r="A542" s="30">
        <v>533</v>
      </c>
      <c r="B542" s="30"/>
      <c r="C542" s="33" t="s">
        <v>212</v>
      </c>
      <c r="D542" s="30" t="s">
        <v>88</v>
      </c>
      <c r="E542" s="30">
        <v>1</v>
      </c>
      <c r="F542" s="26"/>
      <c r="G542" s="30">
        <f t="shared" si="17"/>
        <v>1</v>
      </c>
      <c r="H542" s="29">
        <v>124425</v>
      </c>
      <c r="I542" s="28">
        <f t="shared" si="16"/>
        <v>124425</v>
      </c>
    </row>
    <row r="543" spans="1:9" x14ac:dyDescent="0.3">
      <c r="A543" s="30">
        <v>534</v>
      </c>
      <c r="B543" s="30"/>
      <c r="C543" s="33" t="s">
        <v>211</v>
      </c>
      <c r="D543" s="30" t="s">
        <v>88</v>
      </c>
      <c r="E543" s="30">
        <v>6</v>
      </c>
      <c r="F543" s="26"/>
      <c r="G543" s="30">
        <f t="shared" si="17"/>
        <v>6</v>
      </c>
      <c r="H543" s="29">
        <v>382500</v>
      </c>
      <c r="I543" s="28">
        <f t="shared" si="16"/>
        <v>2295000</v>
      </c>
    </row>
    <row r="544" spans="1:9" x14ac:dyDescent="0.3">
      <c r="A544" s="30">
        <v>535</v>
      </c>
      <c r="B544" s="30"/>
      <c r="C544" s="33" t="s">
        <v>210</v>
      </c>
      <c r="D544" s="30" t="s">
        <v>88</v>
      </c>
      <c r="E544" s="30">
        <v>1</v>
      </c>
      <c r="F544" s="26"/>
      <c r="G544" s="30">
        <f t="shared" si="17"/>
        <v>1</v>
      </c>
      <c r="H544" s="29">
        <v>99375</v>
      </c>
      <c r="I544" s="28">
        <f t="shared" si="16"/>
        <v>99375</v>
      </c>
    </row>
    <row r="545" spans="1:9" x14ac:dyDescent="0.3">
      <c r="A545" s="30">
        <v>536</v>
      </c>
      <c r="B545" s="30"/>
      <c r="C545" s="33" t="s">
        <v>209</v>
      </c>
      <c r="D545" s="30" t="s">
        <v>88</v>
      </c>
      <c r="E545" s="30">
        <v>1</v>
      </c>
      <c r="F545" s="26"/>
      <c r="G545" s="30">
        <f t="shared" si="17"/>
        <v>1</v>
      </c>
      <c r="H545" s="29">
        <v>99375</v>
      </c>
      <c r="I545" s="28">
        <f t="shared" si="16"/>
        <v>99375</v>
      </c>
    </row>
    <row r="546" spans="1:9" x14ac:dyDescent="0.3">
      <c r="A546" s="30">
        <v>537</v>
      </c>
      <c r="B546" s="30"/>
      <c r="C546" s="33" t="s">
        <v>208</v>
      </c>
      <c r="D546" s="30" t="s">
        <v>88</v>
      </c>
      <c r="E546" s="30">
        <v>1</v>
      </c>
      <c r="F546" s="26"/>
      <c r="G546" s="30">
        <f t="shared" si="17"/>
        <v>1</v>
      </c>
      <c r="H546" s="29">
        <v>99375</v>
      </c>
      <c r="I546" s="28">
        <f t="shared" si="16"/>
        <v>99375</v>
      </c>
    </row>
    <row r="547" spans="1:9" x14ac:dyDescent="0.3">
      <c r="A547" s="30">
        <v>538</v>
      </c>
      <c r="B547" s="30"/>
      <c r="C547" s="33" t="s">
        <v>207</v>
      </c>
      <c r="D547" s="30" t="s">
        <v>88</v>
      </c>
      <c r="E547" s="30">
        <v>1</v>
      </c>
      <c r="F547" s="26"/>
      <c r="G547" s="30">
        <f t="shared" si="17"/>
        <v>1</v>
      </c>
      <c r="H547" s="29">
        <v>99375</v>
      </c>
      <c r="I547" s="28">
        <f t="shared" si="16"/>
        <v>99375</v>
      </c>
    </row>
    <row r="548" spans="1:9" x14ac:dyDescent="0.3">
      <c r="A548" s="30">
        <v>539</v>
      </c>
      <c r="B548" s="30"/>
      <c r="C548" s="33" t="s">
        <v>206</v>
      </c>
      <c r="D548" s="30" t="s">
        <v>88</v>
      </c>
      <c r="E548" s="30">
        <v>1</v>
      </c>
      <c r="F548" s="26"/>
      <c r="G548" s="30">
        <f t="shared" si="17"/>
        <v>1</v>
      </c>
      <c r="H548" s="29">
        <v>99375</v>
      </c>
      <c r="I548" s="28">
        <f t="shared" si="16"/>
        <v>99375</v>
      </c>
    </row>
    <row r="549" spans="1:9" x14ac:dyDescent="0.3">
      <c r="A549" s="30">
        <v>540</v>
      </c>
      <c r="B549" s="30"/>
      <c r="C549" s="33" t="s">
        <v>205</v>
      </c>
      <c r="D549" s="30" t="s">
        <v>88</v>
      </c>
      <c r="E549" s="30">
        <v>3</v>
      </c>
      <c r="F549" s="26"/>
      <c r="G549" s="30">
        <f t="shared" si="17"/>
        <v>3</v>
      </c>
      <c r="H549" s="29">
        <v>298125</v>
      </c>
      <c r="I549" s="28">
        <f t="shared" si="16"/>
        <v>894375</v>
      </c>
    </row>
    <row r="550" spans="1:9" x14ac:dyDescent="0.3">
      <c r="A550" s="30">
        <v>541</v>
      </c>
      <c r="B550" s="30"/>
      <c r="C550" s="33" t="s">
        <v>204</v>
      </c>
      <c r="D550" s="30" t="s">
        <v>88</v>
      </c>
      <c r="E550" s="30">
        <v>2</v>
      </c>
      <c r="F550" s="26"/>
      <c r="G550" s="30">
        <f t="shared" si="17"/>
        <v>2</v>
      </c>
      <c r="H550" s="29">
        <v>198750</v>
      </c>
      <c r="I550" s="28">
        <f t="shared" si="16"/>
        <v>397500</v>
      </c>
    </row>
    <row r="551" spans="1:9" x14ac:dyDescent="0.3">
      <c r="A551" s="30">
        <v>542</v>
      </c>
      <c r="B551" s="30"/>
      <c r="C551" s="33" t="s">
        <v>203</v>
      </c>
      <c r="D551" s="30" t="s">
        <v>88</v>
      </c>
      <c r="E551" s="30">
        <v>5</v>
      </c>
      <c r="F551" s="26"/>
      <c r="G551" s="30">
        <f t="shared" si="17"/>
        <v>5</v>
      </c>
      <c r="H551" s="29">
        <v>164700</v>
      </c>
      <c r="I551" s="28">
        <f t="shared" si="16"/>
        <v>823500</v>
      </c>
    </row>
    <row r="552" spans="1:9" x14ac:dyDescent="0.3">
      <c r="A552" s="30">
        <v>543</v>
      </c>
      <c r="B552" s="30"/>
      <c r="C552" s="33" t="s">
        <v>202</v>
      </c>
      <c r="D552" s="30" t="s">
        <v>88</v>
      </c>
      <c r="E552" s="30">
        <v>4</v>
      </c>
      <c r="F552" s="26"/>
      <c r="G552" s="30">
        <f t="shared" si="17"/>
        <v>4</v>
      </c>
      <c r="H552" s="29">
        <v>115200</v>
      </c>
      <c r="I552" s="28">
        <f t="shared" si="16"/>
        <v>460800</v>
      </c>
    </row>
    <row r="553" spans="1:9" x14ac:dyDescent="0.3">
      <c r="A553" s="30">
        <v>544</v>
      </c>
      <c r="B553" s="30"/>
      <c r="C553" s="33" t="s">
        <v>201</v>
      </c>
      <c r="D553" s="30" t="s">
        <v>88</v>
      </c>
      <c r="E553" s="30">
        <v>2</v>
      </c>
      <c r="F553" s="26"/>
      <c r="G553" s="30">
        <f t="shared" si="17"/>
        <v>2</v>
      </c>
      <c r="H553" s="29">
        <v>42200</v>
      </c>
      <c r="I553" s="28">
        <f t="shared" si="16"/>
        <v>84400</v>
      </c>
    </row>
    <row r="554" spans="1:9" x14ac:dyDescent="0.3">
      <c r="A554" s="30">
        <v>545</v>
      </c>
      <c r="B554" s="30"/>
      <c r="C554" s="33" t="s">
        <v>200</v>
      </c>
      <c r="D554" s="30" t="s">
        <v>88</v>
      </c>
      <c r="E554" s="30">
        <v>2</v>
      </c>
      <c r="F554" s="26"/>
      <c r="G554" s="30">
        <f t="shared" si="17"/>
        <v>2</v>
      </c>
      <c r="H554" s="29">
        <v>42300</v>
      </c>
      <c r="I554" s="28">
        <f t="shared" si="16"/>
        <v>84600</v>
      </c>
    </row>
    <row r="555" spans="1:9" x14ac:dyDescent="0.3">
      <c r="A555" s="30">
        <v>546</v>
      </c>
      <c r="B555" s="30"/>
      <c r="C555" s="33" t="s">
        <v>199</v>
      </c>
      <c r="D555" s="30" t="s">
        <v>88</v>
      </c>
      <c r="E555" s="30">
        <v>2</v>
      </c>
      <c r="F555" s="26"/>
      <c r="G555" s="30">
        <f t="shared" si="17"/>
        <v>2</v>
      </c>
      <c r="H555" s="29">
        <v>42300</v>
      </c>
      <c r="I555" s="28">
        <f t="shared" si="16"/>
        <v>84600</v>
      </c>
    </row>
    <row r="556" spans="1:9" x14ac:dyDescent="0.3">
      <c r="A556" s="30">
        <v>547</v>
      </c>
      <c r="B556" s="30"/>
      <c r="C556" s="33" t="s">
        <v>198</v>
      </c>
      <c r="D556" s="30" t="s">
        <v>88</v>
      </c>
      <c r="E556" s="30">
        <v>2</v>
      </c>
      <c r="F556" s="26"/>
      <c r="G556" s="30">
        <f t="shared" si="17"/>
        <v>2</v>
      </c>
      <c r="H556" s="29">
        <v>38340</v>
      </c>
      <c r="I556" s="28">
        <f t="shared" si="16"/>
        <v>76680</v>
      </c>
    </row>
    <row r="557" spans="1:9" x14ac:dyDescent="0.3">
      <c r="A557" s="30">
        <v>548</v>
      </c>
      <c r="B557" s="30"/>
      <c r="C557" s="33" t="s">
        <v>197</v>
      </c>
      <c r="D557" s="30" t="s">
        <v>88</v>
      </c>
      <c r="E557" s="30">
        <v>2</v>
      </c>
      <c r="F557" s="26"/>
      <c r="G557" s="30">
        <f t="shared" si="17"/>
        <v>2</v>
      </c>
      <c r="H557" s="29">
        <v>38340</v>
      </c>
      <c r="I557" s="28">
        <f t="shared" si="16"/>
        <v>76680</v>
      </c>
    </row>
    <row r="558" spans="1:9" x14ac:dyDescent="0.3">
      <c r="A558" s="30">
        <v>549</v>
      </c>
      <c r="B558" s="30"/>
      <c r="C558" s="33" t="s">
        <v>196</v>
      </c>
      <c r="D558" s="30" t="s">
        <v>88</v>
      </c>
      <c r="E558" s="30">
        <v>2</v>
      </c>
      <c r="F558" s="26"/>
      <c r="G558" s="30">
        <f t="shared" si="17"/>
        <v>2</v>
      </c>
      <c r="H558" s="29">
        <v>42300</v>
      </c>
      <c r="I558" s="28">
        <f t="shared" si="16"/>
        <v>84600</v>
      </c>
    </row>
    <row r="559" spans="1:9" x14ac:dyDescent="0.3">
      <c r="A559" s="30">
        <v>550</v>
      </c>
      <c r="B559" s="30"/>
      <c r="C559" s="33" t="s">
        <v>195</v>
      </c>
      <c r="D559" s="30" t="s">
        <v>88</v>
      </c>
      <c r="E559" s="30">
        <v>2</v>
      </c>
      <c r="F559" s="26"/>
      <c r="G559" s="30">
        <f t="shared" si="17"/>
        <v>2</v>
      </c>
      <c r="H559" s="29">
        <v>42300</v>
      </c>
      <c r="I559" s="28">
        <f t="shared" si="16"/>
        <v>84600</v>
      </c>
    </row>
    <row r="560" spans="1:9" x14ac:dyDescent="0.3">
      <c r="A560" s="30">
        <v>551</v>
      </c>
      <c r="B560" s="30"/>
      <c r="C560" s="33" t="s">
        <v>194</v>
      </c>
      <c r="D560" s="30" t="s">
        <v>88</v>
      </c>
      <c r="E560" s="30">
        <v>4</v>
      </c>
      <c r="F560" s="26"/>
      <c r="G560" s="30">
        <f t="shared" si="17"/>
        <v>4</v>
      </c>
      <c r="H560" s="29">
        <v>84600</v>
      </c>
      <c r="I560" s="28">
        <f t="shared" si="16"/>
        <v>338400</v>
      </c>
    </row>
    <row r="561" spans="1:9" x14ac:dyDescent="0.3">
      <c r="A561" s="30">
        <v>552</v>
      </c>
      <c r="B561" s="30"/>
      <c r="C561" s="33" t="s">
        <v>193</v>
      </c>
      <c r="D561" s="30" t="s">
        <v>88</v>
      </c>
      <c r="E561" s="30">
        <v>2</v>
      </c>
      <c r="F561" s="26"/>
      <c r="G561" s="30">
        <f t="shared" si="17"/>
        <v>2</v>
      </c>
      <c r="H561" s="29">
        <v>49444</v>
      </c>
      <c r="I561" s="28">
        <f t="shared" si="16"/>
        <v>98888</v>
      </c>
    </row>
    <row r="562" spans="1:9" x14ac:dyDescent="0.3">
      <c r="A562" s="30">
        <v>553</v>
      </c>
      <c r="B562" s="30"/>
      <c r="C562" s="33" t="s">
        <v>192</v>
      </c>
      <c r="D562" s="30" t="s">
        <v>88</v>
      </c>
      <c r="E562" s="30">
        <v>2</v>
      </c>
      <c r="F562" s="26"/>
      <c r="G562" s="30">
        <f t="shared" si="17"/>
        <v>2</v>
      </c>
      <c r="H562" s="29">
        <v>62100</v>
      </c>
      <c r="I562" s="28">
        <f t="shared" si="16"/>
        <v>124200</v>
      </c>
    </row>
    <row r="563" spans="1:9" x14ac:dyDescent="0.3">
      <c r="A563" s="30">
        <v>554</v>
      </c>
      <c r="B563" s="30"/>
      <c r="C563" s="33" t="s">
        <v>191</v>
      </c>
      <c r="D563" s="30" t="s">
        <v>88</v>
      </c>
      <c r="E563" s="30">
        <v>2</v>
      </c>
      <c r="F563" s="26"/>
      <c r="G563" s="30">
        <f t="shared" si="17"/>
        <v>2</v>
      </c>
      <c r="H563" s="29">
        <v>76500</v>
      </c>
      <c r="I563" s="28">
        <f t="shared" si="16"/>
        <v>153000</v>
      </c>
    </row>
    <row r="564" spans="1:9" x14ac:dyDescent="0.3">
      <c r="A564" s="30">
        <v>555</v>
      </c>
      <c r="B564" s="30"/>
      <c r="C564" s="33" t="s">
        <v>190</v>
      </c>
      <c r="D564" s="30" t="s">
        <v>88</v>
      </c>
      <c r="E564" s="30">
        <v>2</v>
      </c>
      <c r="F564" s="26"/>
      <c r="G564" s="30">
        <f t="shared" si="17"/>
        <v>2</v>
      </c>
      <c r="H564" s="29">
        <v>59040</v>
      </c>
      <c r="I564" s="28">
        <f t="shared" si="16"/>
        <v>118080</v>
      </c>
    </row>
    <row r="565" spans="1:9" x14ac:dyDescent="0.3">
      <c r="A565" s="30">
        <v>556</v>
      </c>
      <c r="B565" s="30"/>
      <c r="C565" s="33" t="s">
        <v>189</v>
      </c>
      <c r="D565" s="30" t="s">
        <v>88</v>
      </c>
      <c r="E565" s="30">
        <v>2</v>
      </c>
      <c r="F565" s="26"/>
      <c r="G565" s="30">
        <f t="shared" si="17"/>
        <v>2</v>
      </c>
      <c r="H565" s="29">
        <v>85880</v>
      </c>
      <c r="I565" s="28">
        <f t="shared" si="16"/>
        <v>171760</v>
      </c>
    </row>
    <row r="566" spans="1:9" x14ac:dyDescent="0.3">
      <c r="A566" s="30">
        <v>557</v>
      </c>
      <c r="B566" s="30"/>
      <c r="C566" s="33" t="s">
        <v>188</v>
      </c>
      <c r="D566" s="30" t="s">
        <v>88</v>
      </c>
      <c r="E566" s="30">
        <v>1</v>
      </c>
      <c r="F566" s="26"/>
      <c r="G566" s="30">
        <f t="shared" si="17"/>
        <v>1</v>
      </c>
      <c r="H566" s="29">
        <v>6000</v>
      </c>
      <c r="I566" s="28">
        <f t="shared" si="16"/>
        <v>6000</v>
      </c>
    </row>
    <row r="567" spans="1:9" x14ac:dyDescent="0.3">
      <c r="A567" s="30">
        <v>558</v>
      </c>
      <c r="B567" s="30"/>
      <c r="C567" s="33" t="s">
        <v>187</v>
      </c>
      <c r="D567" s="30" t="s">
        <v>88</v>
      </c>
      <c r="E567" s="30">
        <v>3</v>
      </c>
      <c r="F567" s="26"/>
      <c r="G567" s="30">
        <f t="shared" si="17"/>
        <v>3</v>
      </c>
      <c r="H567" s="29">
        <v>19500</v>
      </c>
      <c r="I567" s="28">
        <f t="shared" si="16"/>
        <v>58500</v>
      </c>
    </row>
    <row r="568" spans="1:9" x14ac:dyDescent="0.3">
      <c r="A568" s="30">
        <v>559</v>
      </c>
      <c r="B568" s="30"/>
      <c r="C568" s="33" t="s">
        <v>186</v>
      </c>
      <c r="D568" s="30" t="s">
        <v>88</v>
      </c>
      <c r="E568" s="30">
        <v>4</v>
      </c>
      <c r="F568" s="26"/>
      <c r="G568" s="30">
        <f t="shared" si="17"/>
        <v>4</v>
      </c>
      <c r="H568" s="29">
        <v>142560</v>
      </c>
      <c r="I568" s="28">
        <f t="shared" si="16"/>
        <v>570240</v>
      </c>
    </row>
    <row r="569" spans="1:9" x14ac:dyDescent="0.3">
      <c r="A569" s="30">
        <v>560</v>
      </c>
      <c r="B569" s="30"/>
      <c r="C569" s="33" t="s">
        <v>185</v>
      </c>
      <c r="D569" s="30" t="s">
        <v>88</v>
      </c>
      <c r="E569" s="30">
        <v>2</v>
      </c>
      <c r="F569" s="26"/>
      <c r="G569" s="30">
        <f t="shared" si="17"/>
        <v>2</v>
      </c>
      <c r="H569" s="29">
        <v>171000</v>
      </c>
      <c r="I569" s="28">
        <f t="shared" si="16"/>
        <v>342000</v>
      </c>
    </row>
    <row r="570" spans="1:9" x14ac:dyDescent="0.3">
      <c r="A570" s="30">
        <v>561</v>
      </c>
      <c r="B570" s="30"/>
      <c r="C570" s="33" t="s">
        <v>184</v>
      </c>
      <c r="D570" s="30" t="s">
        <v>88</v>
      </c>
      <c r="E570" s="30">
        <v>4</v>
      </c>
      <c r="F570" s="26"/>
      <c r="G570" s="30">
        <f t="shared" si="17"/>
        <v>4</v>
      </c>
      <c r="H570" s="29">
        <v>51680</v>
      </c>
      <c r="I570" s="28">
        <f t="shared" si="16"/>
        <v>206720</v>
      </c>
    </row>
    <row r="571" spans="1:9" x14ac:dyDescent="0.3">
      <c r="A571" s="30">
        <v>562</v>
      </c>
      <c r="B571" s="30"/>
      <c r="C571" s="33" t="s">
        <v>183</v>
      </c>
      <c r="D571" s="30" t="s">
        <v>88</v>
      </c>
      <c r="E571" s="30">
        <v>1</v>
      </c>
      <c r="F571" s="26"/>
      <c r="G571" s="30">
        <f t="shared" si="17"/>
        <v>1</v>
      </c>
      <c r="H571" s="29">
        <v>16150</v>
      </c>
      <c r="I571" s="28">
        <f t="shared" si="16"/>
        <v>16150</v>
      </c>
    </row>
    <row r="572" spans="1:9" x14ac:dyDescent="0.3">
      <c r="A572" s="30">
        <v>563</v>
      </c>
      <c r="B572" s="30"/>
      <c r="C572" s="33" t="s">
        <v>182</v>
      </c>
      <c r="D572" s="30" t="s">
        <v>88</v>
      </c>
      <c r="E572" s="30">
        <v>1</v>
      </c>
      <c r="F572" s="26"/>
      <c r="G572" s="30">
        <f t="shared" si="17"/>
        <v>1</v>
      </c>
      <c r="H572" s="29">
        <v>16150</v>
      </c>
      <c r="I572" s="28">
        <f t="shared" si="16"/>
        <v>16150</v>
      </c>
    </row>
    <row r="573" spans="1:9" x14ac:dyDescent="0.3">
      <c r="A573" s="30">
        <v>564</v>
      </c>
      <c r="B573" s="30"/>
      <c r="C573" s="33" t="s">
        <v>181</v>
      </c>
      <c r="D573" s="30" t="s">
        <v>88</v>
      </c>
      <c r="E573" s="30">
        <v>2</v>
      </c>
      <c r="F573" s="26"/>
      <c r="G573" s="30">
        <f t="shared" si="17"/>
        <v>2</v>
      </c>
      <c r="H573" s="29">
        <v>37392</v>
      </c>
      <c r="I573" s="28">
        <f t="shared" si="16"/>
        <v>74784</v>
      </c>
    </row>
    <row r="574" spans="1:9" x14ac:dyDescent="0.3">
      <c r="A574" s="30">
        <v>565</v>
      </c>
      <c r="B574" s="30"/>
      <c r="C574" s="33" t="s">
        <v>180</v>
      </c>
      <c r="D574" s="30" t="s">
        <v>88</v>
      </c>
      <c r="E574" s="30">
        <v>3</v>
      </c>
      <c r="F574" s="26"/>
      <c r="G574" s="30">
        <f t="shared" si="17"/>
        <v>3</v>
      </c>
      <c r="H574" s="29">
        <v>53550</v>
      </c>
      <c r="I574" s="28">
        <f t="shared" si="16"/>
        <v>160650</v>
      </c>
    </row>
    <row r="575" spans="1:9" x14ac:dyDescent="0.3">
      <c r="A575" s="30">
        <v>566</v>
      </c>
      <c r="B575" s="30"/>
      <c r="C575" s="33" t="s">
        <v>179</v>
      </c>
      <c r="D575" s="30" t="s">
        <v>88</v>
      </c>
      <c r="E575" s="30">
        <v>1</v>
      </c>
      <c r="F575" s="26"/>
      <c r="G575" s="30">
        <f t="shared" si="17"/>
        <v>1</v>
      </c>
      <c r="H575" s="29">
        <v>14800</v>
      </c>
      <c r="I575" s="28">
        <f t="shared" si="16"/>
        <v>14800</v>
      </c>
    </row>
    <row r="576" spans="1:9" x14ac:dyDescent="0.3">
      <c r="A576" s="30">
        <v>567</v>
      </c>
      <c r="B576" s="30"/>
      <c r="C576" s="33" t="s">
        <v>178</v>
      </c>
      <c r="D576" s="30" t="s">
        <v>88</v>
      </c>
      <c r="E576" s="30">
        <v>5</v>
      </c>
      <c r="F576" s="26"/>
      <c r="G576" s="30">
        <f t="shared" si="17"/>
        <v>5</v>
      </c>
      <c r="H576" s="29">
        <v>74000</v>
      </c>
      <c r="I576" s="28">
        <f t="shared" si="16"/>
        <v>370000</v>
      </c>
    </row>
    <row r="577" spans="1:9" x14ac:dyDescent="0.3">
      <c r="A577" s="30">
        <v>568</v>
      </c>
      <c r="B577" s="30"/>
      <c r="C577" s="33" t="s">
        <v>177</v>
      </c>
      <c r="D577" s="30" t="s">
        <v>88</v>
      </c>
      <c r="E577" s="30">
        <v>1</v>
      </c>
      <c r="F577" s="26"/>
      <c r="G577" s="30">
        <f t="shared" si="17"/>
        <v>1</v>
      </c>
      <c r="H577" s="29">
        <v>28306.5</v>
      </c>
      <c r="I577" s="28">
        <f t="shared" si="16"/>
        <v>28306.5</v>
      </c>
    </row>
    <row r="578" spans="1:9" x14ac:dyDescent="0.3">
      <c r="A578" s="30">
        <v>569</v>
      </c>
      <c r="B578" s="30"/>
      <c r="C578" s="33" t="s">
        <v>176</v>
      </c>
      <c r="D578" s="30" t="s">
        <v>88</v>
      </c>
      <c r="E578" s="30">
        <v>1</v>
      </c>
      <c r="F578" s="26"/>
      <c r="G578" s="30">
        <f t="shared" si="17"/>
        <v>1</v>
      </c>
      <c r="H578" s="29">
        <v>28306.5</v>
      </c>
      <c r="I578" s="28">
        <f t="shared" si="16"/>
        <v>28306.5</v>
      </c>
    </row>
    <row r="579" spans="1:9" x14ac:dyDescent="0.3">
      <c r="A579" s="30">
        <v>570</v>
      </c>
      <c r="B579" s="30"/>
      <c r="C579" s="33" t="s">
        <v>175</v>
      </c>
      <c r="D579" s="30" t="s">
        <v>88</v>
      </c>
      <c r="E579" s="30">
        <v>4</v>
      </c>
      <c r="F579" s="26"/>
      <c r="G579" s="30">
        <f t="shared" si="17"/>
        <v>4</v>
      </c>
      <c r="H579" s="29">
        <v>139872</v>
      </c>
      <c r="I579" s="28">
        <f t="shared" si="16"/>
        <v>559488</v>
      </c>
    </row>
    <row r="580" spans="1:9" x14ac:dyDescent="0.3">
      <c r="A580" s="30">
        <v>571</v>
      </c>
      <c r="B580" s="30"/>
      <c r="C580" s="33" t="s">
        <v>174</v>
      </c>
      <c r="D580" s="30" t="s">
        <v>88</v>
      </c>
      <c r="E580" s="30">
        <v>2</v>
      </c>
      <c r="F580" s="26"/>
      <c r="G580" s="30">
        <f t="shared" si="17"/>
        <v>2</v>
      </c>
      <c r="H580" s="29">
        <v>53010</v>
      </c>
      <c r="I580" s="28">
        <f t="shared" si="16"/>
        <v>106020</v>
      </c>
    </row>
    <row r="581" spans="1:9" x14ac:dyDescent="0.3">
      <c r="A581" s="30">
        <v>572</v>
      </c>
      <c r="B581" s="30"/>
      <c r="C581" s="33" t="s">
        <v>173</v>
      </c>
      <c r="D581" s="30" t="s">
        <v>88</v>
      </c>
      <c r="E581" s="30">
        <v>5</v>
      </c>
      <c r="F581" s="26"/>
      <c r="G581" s="30">
        <f t="shared" si="17"/>
        <v>5</v>
      </c>
      <c r="H581" s="29">
        <v>59375</v>
      </c>
      <c r="I581" s="28">
        <f t="shared" si="16"/>
        <v>296875</v>
      </c>
    </row>
    <row r="582" spans="1:9" x14ac:dyDescent="0.3">
      <c r="A582" s="30">
        <v>573</v>
      </c>
      <c r="B582" s="30"/>
      <c r="C582" s="33" t="s">
        <v>172</v>
      </c>
      <c r="D582" s="30" t="s">
        <v>88</v>
      </c>
      <c r="E582" s="30">
        <v>4</v>
      </c>
      <c r="F582" s="26"/>
      <c r="G582" s="30">
        <f t="shared" si="17"/>
        <v>4</v>
      </c>
      <c r="H582" s="29">
        <v>47500</v>
      </c>
      <c r="I582" s="28">
        <f t="shared" si="16"/>
        <v>190000</v>
      </c>
    </row>
    <row r="583" spans="1:9" x14ac:dyDescent="0.3">
      <c r="A583" s="30">
        <v>574</v>
      </c>
      <c r="B583" s="30"/>
      <c r="C583" s="33" t="s">
        <v>171</v>
      </c>
      <c r="D583" s="30" t="s">
        <v>88</v>
      </c>
      <c r="E583" s="30">
        <v>6</v>
      </c>
      <c r="F583" s="26"/>
      <c r="G583" s="30">
        <f t="shared" si="17"/>
        <v>6</v>
      </c>
      <c r="H583" s="29">
        <v>71250</v>
      </c>
      <c r="I583" s="28">
        <f t="shared" si="16"/>
        <v>427500</v>
      </c>
    </row>
    <row r="584" spans="1:9" x14ac:dyDescent="0.3">
      <c r="A584" s="30">
        <v>575</v>
      </c>
      <c r="B584" s="30"/>
      <c r="C584" s="33" t="s">
        <v>170</v>
      </c>
      <c r="D584" s="30" t="s">
        <v>88</v>
      </c>
      <c r="E584" s="30">
        <v>4</v>
      </c>
      <c r="F584" s="26"/>
      <c r="G584" s="30">
        <f t="shared" si="17"/>
        <v>4</v>
      </c>
      <c r="H584" s="29">
        <v>72360</v>
      </c>
      <c r="I584" s="28">
        <f t="shared" si="16"/>
        <v>289440</v>
      </c>
    </row>
    <row r="585" spans="1:9" x14ac:dyDescent="0.3">
      <c r="A585" s="30">
        <v>576</v>
      </c>
      <c r="B585" s="30"/>
      <c r="C585" s="33" t="s">
        <v>169</v>
      </c>
      <c r="D585" s="30" t="s">
        <v>88</v>
      </c>
      <c r="E585" s="30">
        <v>4</v>
      </c>
      <c r="F585" s="26"/>
      <c r="G585" s="30">
        <f t="shared" si="17"/>
        <v>4</v>
      </c>
      <c r="H585" s="29">
        <v>13500</v>
      </c>
      <c r="I585" s="28">
        <f t="shared" si="16"/>
        <v>54000</v>
      </c>
    </row>
    <row r="586" spans="1:9" x14ac:dyDescent="0.3">
      <c r="A586" s="30">
        <v>577</v>
      </c>
      <c r="B586" s="30"/>
      <c r="C586" s="33" t="s">
        <v>168</v>
      </c>
      <c r="D586" s="30" t="s">
        <v>88</v>
      </c>
      <c r="E586" s="30">
        <v>17</v>
      </c>
      <c r="F586" s="26"/>
      <c r="G586" s="30">
        <f t="shared" si="17"/>
        <v>17</v>
      </c>
      <c r="H586" s="29">
        <v>24225</v>
      </c>
      <c r="I586" s="28">
        <f t="shared" ref="I586:I649" si="18">G586*H586</f>
        <v>411825</v>
      </c>
    </row>
    <row r="587" spans="1:9" x14ac:dyDescent="0.3">
      <c r="A587" s="30">
        <v>578</v>
      </c>
      <c r="B587" s="30"/>
      <c r="C587" s="33" t="s">
        <v>167</v>
      </c>
      <c r="D587" s="30" t="s">
        <v>88</v>
      </c>
      <c r="E587" s="30">
        <v>7</v>
      </c>
      <c r="F587" s="26"/>
      <c r="G587" s="30">
        <f t="shared" ref="G587:G650" si="19">E587-F587</f>
        <v>7</v>
      </c>
      <c r="H587" s="29">
        <v>59850</v>
      </c>
      <c r="I587" s="28">
        <f t="shared" si="18"/>
        <v>418950</v>
      </c>
    </row>
    <row r="588" spans="1:9" x14ac:dyDescent="0.3">
      <c r="A588" s="30">
        <v>579</v>
      </c>
      <c r="B588" s="30"/>
      <c r="C588" s="33" t="s">
        <v>166</v>
      </c>
      <c r="D588" s="30" t="s">
        <v>88</v>
      </c>
      <c r="E588" s="30">
        <v>2</v>
      </c>
      <c r="F588" s="26"/>
      <c r="G588" s="30">
        <f t="shared" si="19"/>
        <v>2</v>
      </c>
      <c r="H588" s="29">
        <v>76230</v>
      </c>
      <c r="I588" s="28">
        <f t="shared" si="18"/>
        <v>152460</v>
      </c>
    </row>
    <row r="589" spans="1:9" x14ac:dyDescent="0.3">
      <c r="A589" s="30">
        <v>580</v>
      </c>
      <c r="B589" s="30"/>
      <c r="C589" s="33" t="s">
        <v>165</v>
      </c>
      <c r="D589" s="30" t="s">
        <v>88</v>
      </c>
      <c r="E589" s="30">
        <v>6</v>
      </c>
      <c r="F589" s="26"/>
      <c r="G589" s="30">
        <f t="shared" si="19"/>
        <v>6</v>
      </c>
      <c r="H589" s="29">
        <v>404550</v>
      </c>
      <c r="I589" s="28">
        <f t="shared" si="18"/>
        <v>2427300</v>
      </c>
    </row>
    <row r="590" spans="1:9" x14ac:dyDescent="0.3">
      <c r="A590" s="30">
        <v>581</v>
      </c>
      <c r="B590" s="30"/>
      <c r="C590" s="33" t="s">
        <v>164</v>
      </c>
      <c r="D590" s="30" t="s">
        <v>88</v>
      </c>
      <c r="E590" s="30">
        <v>2</v>
      </c>
      <c r="F590" s="26"/>
      <c r="G590" s="30">
        <f t="shared" si="19"/>
        <v>2</v>
      </c>
      <c r="H590" s="29">
        <v>22720</v>
      </c>
      <c r="I590" s="28">
        <f t="shared" si="18"/>
        <v>45440</v>
      </c>
    </row>
    <row r="591" spans="1:9" x14ac:dyDescent="0.3">
      <c r="A591" s="30">
        <v>582</v>
      </c>
      <c r="B591" s="30"/>
      <c r="C591" s="33" t="s">
        <v>163</v>
      </c>
      <c r="D591" s="30" t="s">
        <v>88</v>
      </c>
      <c r="E591" s="30">
        <v>2</v>
      </c>
      <c r="F591" s="26"/>
      <c r="G591" s="30">
        <f t="shared" si="19"/>
        <v>2</v>
      </c>
      <c r="H591" s="29">
        <v>22720</v>
      </c>
      <c r="I591" s="28">
        <f t="shared" si="18"/>
        <v>45440</v>
      </c>
    </row>
    <row r="592" spans="1:9" x14ac:dyDescent="0.3">
      <c r="A592" s="30">
        <v>583</v>
      </c>
      <c r="B592" s="30"/>
      <c r="C592" s="33" t="s">
        <v>162</v>
      </c>
      <c r="D592" s="30" t="s">
        <v>88</v>
      </c>
      <c r="E592" s="30">
        <v>2</v>
      </c>
      <c r="F592" s="26"/>
      <c r="G592" s="30">
        <f t="shared" si="19"/>
        <v>2</v>
      </c>
      <c r="H592" s="29">
        <v>22720</v>
      </c>
      <c r="I592" s="28">
        <f t="shared" si="18"/>
        <v>45440</v>
      </c>
    </row>
    <row r="593" spans="1:9" x14ac:dyDescent="0.3">
      <c r="A593" s="30">
        <v>584</v>
      </c>
      <c r="B593" s="30"/>
      <c r="C593" s="33" t="s">
        <v>161</v>
      </c>
      <c r="D593" s="30" t="s">
        <v>88</v>
      </c>
      <c r="E593" s="30">
        <v>1</v>
      </c>
      <c r="F593" s="26"/>
      <c r="G593" s="30">
        <f t="shared" si="19"/>
        <v>1</v>
      </c>
      <c r="H593" s="29">
        <v>11360</v>
      </c>
      <c r="I593" s="28">
        <f t="shared" si="18"/>
        <v>11360</v>
      </c>
    </row>
    <row r="594" spans="1:9" x14ac:dyDescent="0.3">
      <c r="A594" s="30">
        <v>585</v>
      </c>
      <c r="B594" s="30"/>
      <c r="C594" s="33" t="s">
        <v>160</v>
      </c>
      <c r="D594" s="30" t="s">
        <v>88</v>
      </c>
      <c r="E594" s="30">
        <v>2</v>
      </c>
      <c r="F594" s="26"/>
      <c r="G594" s="30">
        <f t="shared" si="19"/>
        <v>2</v>
      </c>
      <c r="H594" s="29">
        <v>22720</v>
      </c>
      <c r="I594" s="28">
        <f t="shared" si="18"/>
        <v>45440</v>
      </c>
    </row>
    <row r="595" spans="1:9" x14ac:dyDescent="0.3">
      <c r="A595" s="30">
        <v>586</v>
      </c>
      <c r="B595" s="30"/>
      <c r="C595" s="33" t="s">
        <v>159</v>
      </c>
      <c r="D595" s="30" t="s">
        <v>88</v>
      </c>
      <c r="E595" s="30">
        <v>2</v>
      </c>
      <c r="F595" s="26"/>
      <c r="G595" s="30">
        <f t="shared" si="19"/>
        <v>2</v>
      </c>
      <c r="H595" s="29">
        <v>48750</v>
      </c>
      <c r="I595" s="28">
        <f t="shared" si="18"/>
        <v>97500</v>
      </c>
    </row>
    <row r="596" spans="1:9" x14ac:dyDescent="0.3">
      <c r="A596" s="30">
        <v>587</v>
      </c>
      <c r="B596" s="30"/>
      <c r="C596" s="33" t="s">
        <v>158</v>
      </c>
      <c r="D596" s="30" t="s">
        <v>88</v>
      </c>
      <c r="E596" s="30">
        <v>2</v>
      </c>
      <c r="F596" s="26"/>
      <c r="G596" s="30">
        <f t="shared" si="19"/>
        <v>2</v>
      </c>
      <c r="H596" s="29">
        <v>31563</v>
      </c>
      <c r="I596" s="28">
        <f t="shared" si="18"/>
        <v>63126</v>
      </c>
    </row>
    <row r="597" spans="1:9" x14ac:dyDescent="0.3">
      <c r="A597" s="30">
        <v>588</v>
      </c>
      <c r="B597" s="30"/>
      <c r="C597" s="33" t="s">
        <v>157</v>
      </c>
      <c r="D597" s="30" t="s">
        <v>88</v>
      </c>
      <c r="E597" s="30">
        <v>2</v>
      </c>
      <c r="F597" s="26"/>
      <c r="G597" s="30">
        <f t="shared" si="19"/>
        <v>2</v>
      </c>
      <c r="H597" s="29">
        <v>31563</v>
      </c>
      <c r="I597" s="28">
        <f t="shared" si="18"/>
        <v>63126</v>
      </c>
    </row>
    <row r="598" spans="1:9" x14ac:dyDescent="0.3">
      <c r="A598" s="30">
        <v>589</v>
      </c>
      <c r="B598" s="30"/>
      <c r="C598" s="33" t="s">
        <v>156</v>
      </c>
      <c r="D598" s="30" t="s">
        <v>88</v>
      </c>
      <c r="E598" s="30">
        <v>2</v>
      </c>
      <c r="F598" s="26"/>
      <c r="G598" s="30">
        <f t="shared" si="19"/>
        <v>2</v>
      </c>
      <c r="H598" s="29">
        <v>31563</v>
      </c>
      <c r="I598" s="28">
        <f t="shared" si="18"/>
        <v>63126</v>
      </c>
    </row>
    <row r="599" spans="1:9" x14ac:dyDescent="0.3">
      <c r="A599" s="30">
        <v>590</v>
      </c>
      <c r="B599" s="30"/>
      <c r="C599" s="33" t="s">
        <v>155</v>
      </c>
      <c r="D599" s="30" t="s">
        <v>88</v>
      </c>
      <c r="E599" s="30">
        <v>17</v>
      </c>
      <c r="F599" s="26"/>
      <c r="G599" s="30">
        <f t="shared" si="19"/>
        <v>17</v>
      </c>
      <c r="H599" s="29">
        <v>85629</v>
      </c>
      <c r="I599" s="28">
        <f t="shared" si="18"/>
        <v>1455693</v>
      </c>
    </row>
    <row r="600" spans="1:9" x14ac:dyDescent="0.3">
      <c r="A600" s="30">
        <v>591</v>
      </c>
      <c r="B600" s="30"/>
      <c r="C600" s="33" t="s">
        <v>154</v>
      </c>
      <c r="D600" s="30" t="s">
        <v>88</v>
      </c>
      <c r="E600" s="30">
        <v>35</v>
      </c>
      <c r="F600" s="26"/>
      <c r="G600" s="30">
        <f t="shared" si="19"/>
        <v>35</v>
      </c>
      <c r="H600" s="29">
        <v>349125</v>
      </c>
      <c r="I600" s="28">
        <f t="shared" si="18"/>
        <v>12219375</v>
      </c>
    </row>
    <row r="601" spans="1:9" x14ac:dyDescent="0.3">
      <c r="A601" s="30">
        <v>592</v>
      </c>
      <c r="B601" s="30"/>
      <c r="C601" s="33" t="s">
        <v>153</v>
      </c>
      <c r="D601" s="30" t="s">
        <v>88</v>
      </c>
      <c r="E601" s="30">
        <v>9</v>
      </c>
      <c r="F601" s="26"/>
      <c r="G601" s="30">
        <f t="shared" si="19"/>
        <v>9</v>
      </c>
      <c r="H601" s="29">
        <v>50625</v>
      </c>
      <c r="I601" s="28">
        <f t="shared" si="18"/>
        <v>455625</v>
      </c>
    </row>
    <row r="602" spans="1:9" x14ac:dyDescent="0.3">
      <c r="A602" s="30">
        <v>593</v>
      </c>
      <c r="B602" s="30"/>
      <c r="C602" s="33" t="s">
        <v>152</v>
      </c>
      <c r="D602" s="30" t="s">
        <v>88</v>
      </c>
      <c r="E602" s="30">
        <v>4</v>
      </c>
      <c r="F602" s="26"/>
      <c r="G602" s="30">
        <f t="shared" si="19"/>
        <v>4</v>
      </c>
      <c r="H602" s="29">
        <v>20900</v>
      </c>
      <c r="I602" s="28">
        <f t="shared" si="18"/>
        <v>83600</v>
      </c>
    </row>
    <row r="603" spans="1:9" x14ac:dyDescent="0.3">
      <c r="A603" s="30">
        <v>594</v>
      </c>
      <c r="B603" s="30"/>
      <c r="C603" s="33" t="s">
        <v>151</v>
      </c>
      <c r="D603" s="30" t="s">
        <v>88</v>
      </c>
      <c r="E603" s="30">
        <v>2</v>
      </c>
      <c r="F603" s="26"/>
      <c r="G603" s="30">
        <f t="shared" si="19"/>
        <v>2</v>
      </c>
      <c r="H603" s="29">
        <v>45050</v>
      </c>
      <c r="I603" s="28">
        <f t="shared" si="18"/>
        <v>90100</v>
      </c>
    </row>
    <row r="604" spans="1:9" x14ac:dyDescent="0.3">
      <c r="A604" s="30">
        <v>595</v>
      </c>
      <c r="B604" s="30"/>
      <c r="C604" s="33" t="s">
        <v>150</v>
      </c>
      <c r="D604" s="30" t="s">
        <v>88</v>
      </c>
      <c r="E604" s="30">
        <v>1</v>
      </c>
      <c r="F604" s="26"/>
      <c r="G604" s="30">
        <f t="shared" si="19"/>
        <v>1</v>
      </c>
      <c r="H604" s="29">
        <v>18550</v>
      </c>
      <c r="I604" s="28">
        <f t="shared" si="18"/>
        <v>18550</v>
      </c>
    </row>
    <row r="605" spans="1:9" x14ac:dyDescent="0.3">
      <c r="A605" s="30">
        <v>596</v>
      </c>
      <c r="B605" s="30"/>
      <c r="C605" s="33" t="s">
        <v>149</v>
      </c>
      <c r="D605" s="30" t="s">
        <v>88</v>
      </c>
      <c r="E605" s="30">
        <v>1</v>
      </c>
      <c r="F605" s="26"/>
      <c r="G605" s="30">
        <f t="shared" si="19"/>
        <v>1</v>
      </c>
      <c r="H605" s="29">
        <v>18550</v>
      </c>
      <c r="I605" s="28">
        <f t="shared" si="18"/>
        <v>18550</v>
      </c>
    </row>
    <row r="606" spans="1:9" x14ac:dyDescent="0.3">
      <c r="A606" s="30">
        <v>597</v>
      </c>
      <c r="B606" s="30"/>
      <c r="C606" s="33" t="s">
        <v>148</v>
      </c>
      <c r="D606" s="30" t="s">
        <v>88</v>
      </c>
      <c r="E606" s="30">
        <v>2</v>
      </c>
      <c r="F606" s="26"/>
      <c r="G606" s="30">
        <f t="shared" si="19"/>
        <v>2</v>
      </c>
      <c r="H606" s="29">
        <v>37100</v>
      </c>
      <c r="I606" s="28">
        <f t="shared" si="18"/>
        <v>74200</v>
      </c>
    </row>
    <row r="607" spans="1:9" x14ac:dyDescent="0.3">
      <c r="A607" s="30">
        <v>598</v>
      </c>
      <c r="B607" s="30"/>
      <c r="C607" s="33" t="s">
        <v>147</v>
      </c>
      <c r="D607" s="30" t="s">
        <v>88</v>
      </c>
      <c r="E607" s="30">
        <v>2</v>
      </c>
      <c r="F607" s="26"/>
      <c r="G607" s="30">
        <f t="shared" si="19"/>
        <v>2</v>
      </c>
      <c r="H607" s="29">
        <v>37100</v>
      </c>
      <c r="I607" s="28">
        <f t="shared" si="18"/>
        <v>74200</v>
      </c>
    </row>
    <row r="608" spans="1:9" x14ac:dyDescent="0.3">
      <c r="A608" s="30">
        <v>599</v>
      </c>
      <c r="B608" s="30"/>
      <c r="C608" s="33" t="s">
        <v>146</v>
      </c>
      <c r="D608" s="30" t="s">
        <v>88</v>
      </c>
      <c r="E608" s="30">
        <v>1</v>
      </c>
      <c r="F608" s="26"/>
      <c r="G608" s="30">
        <f t="shared" si="19"/>
        <v>1</v>
      </c>
      <c r="H608" s="29">
        <v>33920</v>
      </c>
      <c r="I608" s="28">
        <f t="shared" si="18"/>
        <v>33920</v>
      </c>
    </row>
    <row r="609" spans="1:9" x14ac:dyDescent="0.3">
      <c r="A609" s="30">
        <v>600</v>
      </c>
      <c r="B609" s="30"/>
      <c r="C609" s="33" t="s">
        <v>145</v>
      </c>
      <c r="D609" s="30" t="s">
        <v>88</v>
      </c>
      <c r="E609" s="30">
        <v>6</v>
      </c>
      <c r="F609" s="26"/>
      <c r="G609" s="30">
        <f t="shared" si="19"/>
        <v>6</v>
      </c>
      <c r="H609" s="29">
        <v>101760</v>
      </c>
      <c r="I609" s="28">
        <f t="shared" si="18"/>
        <v>610560</v>
      </c>
    </row>
    <row r="610" spans="1:9" x14ac:dyDescent="0.3">
      <c r="A610" s="30">
        <v>601</v>
      </c>
      <c r="B610" s="30"/>
      <c r="C610" s="33" t="s">
        <v>144</v>
      </c>
      <c r="D610" s="30" t="s">
        <v>88</v>
      </c>
      <c r="E610" s="30">
        <v>5</v>
      </c>
      <c r="F610" s="26"/>
      <c r="G610" s="30">
        <f t="shared" si="19"/>
        <v>5</v>
      </c>
      <c r="H610" s="29">
        <v>68000</v>
      </c>
      <c r="I610" s="28">
        <f t="shared" si="18"/>
        <v>340000</v>
      </c>
    </row>
    <row r="611" spans="1:9" x14ac:dyDescent="0.3">
      <c r="A611" s="30">
        <v>602</v>
      </c>
      <c r="B611" s="30"/>
      <c r="C611" s="33" t="s">
        <v>143</v>
      </c>
      <c r="D611" s="30" t="s">
        <v>88</v>
      </c>
      <c r="E611" s="30">
        <v>5</v>
      </c>
      <c r="F611" s="26"/>
      <c r="G611" s="30">
        <f t="shared" si="19"/>
        <v>5</v>
      </c>
      <c r="H611" s="29">
        <v>24375</v>
      </c>
      <c r="I611" s="28">
        <f t="shared" si="18"/>
        <v>121875</v>
      </c>
    </row>
    <row r="612" spans="1:9" x14ac:dyDescent="0.3">
      <c r="A612" s="30">
        <v>603</v>
      </c>
      <c r="B612" s="30"/>
      <c r="C612" s="33" t="s">
        <v>142</v>
      </c>
      <c r="D612" s="30" t="s">
        <v>88</v>
      </c>
      <c r="E612" s="30">
        <v>5</v>
      </c>
      <c r="F612" s="26"/>
      <c r="G612" s="30">
        <f t="shared" si="19"/>
        <v>5</v>
      </c>
      <c r="H612" s="29">
        <v>31875</v>
      </c>
      <c r="I612" s="28">
        <f t="shared" si="18"/>
        <v>159375</v>
      </c>
    </row>
    <row r="613" spans="1:9" x14ac:dyDescent="0.3">
      <c r="A613" s="30">
        <v>604</v>
      </c>
      <c r="B613" s="30"/>
      <c r="C613" s="33" t="s">
        <v>141</v>
      </c>
      <c r="D613" s="30" t="s">
        <v>88</v>
      </c>
      <c r="E613" s="30">
        <v>3</v>
      </c>
      <c r="F613" s="26"/>
      <c r="G613" s="30">
        <f t="shared" si="19"/>
        <v>3</v>
      </c>
      <c r="H613" s="29">
        <v>61275</v>
      </c>
      <c r="I613" s="28">
        <f t="shared" si="18"/>
        <v>183825</v>
      </c>
    </row>
    <row r="614" spans="1:9" x14ac:dyDescent="0.3">
      <c r="A614" s="30">
        <v>605</v>
      </c>
      <c r="B614" s="30"/>
      <c r="C614" s="33" t="s">
        <v>140</v>
      </c>
      <c r="D614" s="30" t="s">
        <v>88</v>
      </c>
      <c r="E614" s="30">
        <v>2</v>
      </c>
      <c r="F614" s="26"/>
      <c r="G614" s="30">
        <f t="shared" si="19"/>
        <v>2</v>
      </c>
      <c r="H614" s="29">
        <v>152000</v>
      </c>
      <c r="I614" s="28">
        <f t="shared" si="18"/>
        <v>304000</v>
      </c>
    </row>
    <row r="615" spans="1:9" x14ac:dyDescent="0.3">
      <c r="A615" s="30">
        <v>606</v>
      </c>
      <c r="B615" s="30"/>
      <c r="C615" s="33" t="s">
        <v>139</v>
      </c>
      <c r="D615" s="30" t="s">
        <v>88</v>
      </c>
      <c r="E615" s="30">
        <v>5</v>
      </c>
      <c r="F615" s="26"/>
      <c r="G615" s="30">
        <f t="shared" si="19"/>
        <v>5</v>
      </c>
      <c r="H615" s="29">
        <v>71292.5</v>
      </c>
      <c r="I615" s="28">
        <f t="shared" si="18"/>
        <v>356462.5</v>
      </c>
    </row>
    <row r="616" spans="1:9" x14ac:dyDescent="0.3">
      <c r="A616" s="30">
        <v>607</v>
      </c>
      <c r="B616" s="30"/>
      <c r="C616" s="33" t="s">
        <v>138</v>
      </c>
      <c r="D616" s="30" t="s">
        <v>88</v>
      </c>
      <c r="E616" s="30">
        <v>4</v>
      </c>
      <c r="F616" s="26"/>
      <c r="G616" s="30">
        <f t="shared" si="19"/>
        <v>4</v>
      </c>
      <c r="H616" s="29">
        <v>196000</v>
      </c>
      <c r="I616" s="28">
        <f t="shared" si="18"/>
        <v>784000</v>
      </c>
    </row>
    <row r="617" spans="1:9" x14ac:dyDescent="0.3">
      <c r="A617" s="30">
        <v>608</v>
      </c>
      <c r="B617" s="30"/>
      <c r="C617" s="33" t="s">
        <v>137</v>
      </c>
      <c r="D617" s="30" t="s">
        <v>88</v>
      </c>
      <c r="E617" s="30">
        <v>2</v>
      </c>
      <c r="F617" s="26"/>
      <c r="G617" s="30">
        <f t="shared" si="19"/>
        <v>2</v>
      </c>
      <c r="H617" s="29">
        <v>37920</v>
      </c>
      <c r="I617" s="28">
        <f t="shared" si="18"/>
        <v>75840</v>
      </c>
    </row>
    <row r="618" spans="1:9" x14ac:dyDescent="0.3">
      <c r="A618" s="30">
        <v>609</v>
      </c>
      <c r="B618" s="30"/>
      <c r="C618" s="33" t="s">
        <v>136</v>
      </c>
      <c r="D618" s="30" t="s">
        <v>88</v>
      </c>
      <c r="E618" s="30">
        <v>4</v>
      </c>
      <c r="F618" s="26"/>
      <c r="G618" s="30">
        <f t="shared" si="19"/>
        <v>4</v>
      </c>
      <c r="H618" s="29">
        <v>70680</v>
      </c>
      <c r="I618" s="28">
        <f t="shared" si="18"/>
        <v>282720</v>
      </c>
    </row>
    <row r="619" spans="1:9" x14ac:dyDescent="0.3">
      <c r="A619" s="30">
        <v>610</v>
      </c>
      <c r="B619" s="30"/>
      <c r="C619" s="33" t="s">
        <v>135</v>
      </c>
      <c r="D619" s="30" t="s">
        <v>88</v>
      </c>
      <c r="E619" s="30">
        <v>4</v>
      </c>
      <c r="F619" s="26"/>
      <c r="G619" s="30">
        <f t="shared" si="19"/>
        <v>4</v>
      </c>
      <c r="H619" s="29">
        <v>121600</v>
      </c>
      <c r="I619" s="28">
        <f t="shared" si="18"/>
        <v>486400</v>
      </c>
    </row>
    <row r="620" spans="1:9" x14ac:dyDescent="0.3">
      <c r="A620" s="30">
        <v>611</v>
      </c>
      <c r="B620" s="30"/>
      <c r="C620" s="33" t="s">
        <v>134</v>
      </c>
      <c r="D620" s="30" t="s">
        <v>88</v>
      </c>
      <c r="E620" s="30">
        <v>1</v>
      </c>
      <c r="F620" s="26"/>
      <c r="G620" s="30">
        <f t="shared" si="19"/>
        <v>1</v>
      </c>
      <c r="H620" s="29">
        <v>51450</v>
      </c>
      <c r="I620" s="28">
        <f t="shared" si="18"/>
        <v>51450</v>
      </c>
    </row>
    <row r="621" spans="1:9" x14ac:dyDescent="0.3">
      <c r="A621" s="30">
        <v>612</v>
      </c>
      <c r="B621" s="30"/>
      <c r="C621" s="33" t="s">
        <v>133</v>
      </c>
      <c r="D621" s="30" t="s">
        <v>88</v>
      </c>
      <c r="E621" s="30">
        <v>3</v>
      </c>
      <c r="F621" s="26"/>
      <c r="G621" s="30">
        <f t="shared" si="19"/>
        <v>3</v>
      </c>
      <c r="H621" s="29">
        <v>85500</v>
      </c>
      <c r="I621" s="28">
        <f t="shared" si="18"/>
        <v>256500</v>
      </c>
    </row>
    <row r="622" spans="1:9" x14ac:dyDescent="0.3">
      <c r="A622" s="30">
        <v>613</v>
      </c>
      <c r="B622" s="30"/>
      <c r="C622" s="33" t="s">
        <v>132</v>
      </c>
      <c r="D622" s="30" t="s">
        <v>88</v>
      </c>
      <c r="E622" s="30">
        <v>4</v>
      </c>
      <c r="F622" s="26"/>
      <c r="G622" s="30">
        <f t="shared" si="19"/>
        <v>4</v>
      </c>
      <c r="H622" s="29">
        <v>83200</v>
      </c>
      <c r="I622" s="28">
        <f t="shared" si="18"/>
        <v>332800</v>
      </c>
    </row>
    <row r="623" spans="1:9" x14ac:dyDescent="0.3">
      <c r="A623" s="30">
        <v>614</v>
      </c>
      <c r="B623" s="30"/>
      <c r="C623" s="33" t="s">
        <v>131</v>
      </c>
      <c r="D623" s="30" t="s">
        <v>88</v>
      </c>
      <c r="E623" s="30">
        <v>3</v>
      </c>
      <c r="F623" s="26"/>
      <c r="G623" s="30">
        <f t="shared" si="19"/>
        <v>3</v>
      </c>
      <c r="H623" s="29">
        <v>84360</v>
      </c>
      <c r="I623" s="28">
        <f t="shared" si="18"/>
        <v>253080</v>
      </c>
    </row>
    <row r="624" spans="1:9" x14ac:dyDescent="0.3">
      <c r="A624" s="30">
        <v>615</v>
      </c>
      <c r="B624" s="30"/>
      <c r="C624" s="33" t="s">
        <v>130</v>
      </c>
      <c r="D624" s="30" t="s">
        <v>88</v>
      </c>
      <c r="E624" s="30">
        <v>2</v>
      </c>
      <c r="F624" s="26"/>
      <c r="G624" s="30">
        <f t="shared" si="19"/>
        <v>2</v>
      </c>
      <c r="H624" s="29">
        <v>56000</v>
      </c>
      <c r="I624" s="28">
        <f t="shared" si="18"/>
        <v>112000</v>
      </c>
    </row>
    <row r="625" spans="1:9" x14ac:dyDescent="0.3">
      <c r="A625" s="30">
        <v>616</v>
      </c>
      <c r="B625" s="30"/>
      <c r="C625" s="33" t="s">
        <v>129</v>
      </c>
      <c r="D625" s="30" t="s">
        <v>88</v>
      </c>
      <c r="E625" s="30">
        <v>2</v>
      </c>
      <c r="F625" s="26"/>
      <c r="G625" s="30">
        <f t="shared" si="19"/>
        <v>2</v>
      </c>
      <c r="H625" s="29">
        <v>37920</v>
      </c>
      <c r="I625" s="28">
        <f t="shared" si="18"/>
        <v>75840</v>
      </c>
    </row>
    <row r="626" spans="1:9" x14ac:dyDescent="0.3">
      <c r="A626" s="30">
        <v>617</v>
      </c>
      <c r="B626" s="30"/>
      <c r="C626" s="33" t="s">
        <v>128</v>
      </c>
      <c r="D626" s="30" t="s">
        <v>88</v>
      </c>
      <c r="E626" s="30">
        <v>2</v>
      </c>
      <c r="F626" s="26"/>
      <c r="G626" s="30">
        <f t="shared" si="19"/>
        <v>2</v>
      </c>
      <c r="H626" s="29">
        <v>37920</v>
      </c>
      <c r="I626" s="28">
        <f t="shared" si="18"/>
        <v>75840</v>
      </c>
    </row>
    <row r="627" spans="1:9" x14ac:dyDescent="0.3">
      <c r="A627" s="30">
        <v>618</v>
      </c>
      <c r="B627" s="30"/>
      <c r="C627" s="33" t="s">
        <v>127</v>
      </c>
      <c r="D627" s="30" t="s">
        <v>88</v>
      </c>
      <c r="E627" s="30">
        <v>1</v>
      </c>
      <c r="F627" s="26"/>
      <c r="G627" s="30">
        <f t="shared" si="19"/>
        <v>1</v>
      </c>
      <c r="H627" s="29">
        <v>29600</v>
      </c>
      <c r="I627" s="28">
        <f t="shared" si="18"/>
        <v>29600</v>
      </c>
    </row>
    <row r="628" spans="1:9" x14ac:dyDescent="0.3">
      <c r="A628" s="30">
        <v>619</v>
      </c>
      <c r="B628" s="30"/>
      <c r="C628" s="33" t="s">
        <v>126</v>
      </c>
      <c r="D628" s="30" t="s">
        <v>88</v>
      </c>
      <c r="E628" s="30">
        <v>3</v>
      </c>
      <c r="F628" s="26"/>
      <c r="G628" s="30">
        <f t="shared" si="19"/>
        <v>3</v>
      </c>
      <c r="H628" s="29">
        <v>253650</v>
      </c>
      <c r="I628" s="28">
        <f t="shared" si="18"/>
        <v>760950</v>
      </c>
    </row>
    <row r="629" spans="1:9" x14ac:dyDescent="0.3">
      <c r="A629" s="30">
        <v>620</v>
      </c>
      <c r="B629" s="30"/>
      <c r="C629" s="33" t="s">
        <v>125</v>
      </c>
      <c r="D629" s="30" t="s">
        <v>88</v>
      </c>
      <c r="E629" s="30">
        <v>3</v>
      </c>
      <c r="F629" s="26"/>
      <c r="G629" s="30">
        <f t="shared" si="19"/>
        <v>3</v>
      </c>
      <c r="H629" s="29">
        <v>188100</v>
      </c>
      <c r="I629" s="28">
        <f t="shared" si="18"/>
        <v>564300</v>
      </c>
    </row>
    <row r="630" spans="1:9" x14ac:dyDescent="0.3">
      <c r="A630" s="30">
        <v>621</v>
      </c>
      <c r="B630" s="30"/>
      <c r="C630" s="33" t="s">
        <v>124</v>
      </c>
      <c r="D630" s="30" t="s">
        <v>88</v>
      </c>
      <c r="E630" s="30">
        <v>2</v>
      </c>
      <c r="F630" s="26"/>
      <c r="G630" s="30">
        <f t="shared" si="19"/>
        <v>2</v>
      </c>
      <c r="H630" s="29">
        <v>56000</v>
      </c>
      <c r="I630" s="28">
        <f t="shared" si="18"/>
        <v>112000</v>
      </c>
    </row>
    <row r="631" spans="1:9" x14ac:dyDescent="0.3">
      <c r="A631" s="30">
        <v>622</v>
      </c>
      <c r="B631" s="30"/>
      <c r="C631" s="33" t="s">
        <v>123</v>
      </c>
      <c r="D631" s="30" t="s">
        <v>88</v>
      </c>
      <c r="E631" s="30">
        <v>2</v>
      </c>
      <c r="F631" s="26"/>
      <c r="G631" s="30">
        <f t="shared" si="19"/>
        <v>2</v>
      </c>
      <c r="H631" s="29">
        <v>47310</v>
      </c>
      <c r="I631" s="28">
        <f t="shared" si="18"/>
        <v>94620</v>
      </c>
    </row>
    <row r="632" spans="1:9" x14ac:dyDescent="0.3">
      <c r="A632" s="30">
        <v>623</v>
      </c>
      <c r="B632" s="30"/>
      <c r="C632" s="33" t="s">
        <v>122</v>
      </c>
      <c r="D632" s="30" t="s">
        <v>88</v>
      </c>
      <c r="E632" s="30">
        <v>2</v>
      </c>
      <c r="F632" s="26"/>
      <c r="G632" s="30">
        <f t="shared" si="19"/>
        <v>2</v>
      </c>
      <c r="H632" s="29">
        <v>47310</v>
      </c>
      <c r="I632" s="28">
        <f t="shared" si="18"/>
        <v>94620</v>
      </c>
    </row>
    <row r="633" spans="1:9" x14ac:dyDescent="0.3">
      <c r="A633" s="30">
        <v>624</v>
      </c>
      <c r="B633" s="30"/>
      <c r="C633" s="33" t="s">
        <v>121</v>
      </c>
      <c r="D633" s="30" t="s">
        <v>88</v>
      </c>
      <c r="E633" s="30">
        <v>1</v>
      </c>
      <c r="F633" s="26"/>
      <c r="G633" s="30">
        <f t="shared" si="19"/>
        <v>1</v>
      </c>
      <c r="H633" s="29">
        <v>72200</v>
      </c>
      <c r="I633" s="28">
        <f t="shared" si="18"/>
        <v>72200</v>
      </c>
    </row>
    <row r="634" spans="1:9" x14ac:dyDescent="0.3">
      <c r="A634" s="30">
        <v>625</v>
      </c>
      <c r="B634" s="30"/>
      <c r="C634" s="33" t="s">
        <v>120</v>
      </c>
      <c r="D634" s="30" t="s">
        <v>88</v>
      </c>
      <c r="E634" s="30">
        <v>1</v>
      </c>
      <c r="F634" s="26"/>
      <c r="G634" s="30">
        <f t="shared" si="19"/>
        <v>1</v>
      </c>
      <c r="H634" s="29">
        <v>75810</v>
      </c>
      <c r="I634" s="28">
        <f t="shared" si="18"/>
        <v>75810</v>
      </c>
    </row>
    <row r="635" spans="1:9" x14ac:dyDescent="0.3">
      <c r="A635" s="30">
        <v>626</v>
      </c>
      <c r="B635" s="30"/>
      <c r="C635" s="33" t="s">
        <v>117</v>
      </c>
      <c r="D635" s="30" t="s">
        <v>88</v>
      </c>
      <c r="E635" s="30">
        <v>2</v>
      </c>
      <c r="F635" s="26"/>
      <c r="G635" s="30">
        <f t="shared" si="19"/>
        <v>2</v>
      </c>
      <c r="H635" s="29">
        <v>96280</v>
      </c>
      <c r="I635" s="28">
        <f t="shared" si="18"/>
        <v>192560</v>
      </c>
    </row>
    <row r="636" spans="1:9" x14ac:dyDescent="0.3">
      <c r="A636" s="30">
        <v>627</v>
      </c>
      <c r="B636" s="30"/>
      <c r="C636" s="33" t="s">
        <v>119</v>
      </c>
      <c r="D636" s="30" t="s">
        <v>88</v>
      </c>
      <c r="E636" s="30">
        <v>2</v>
      </c>
      <c r="F636" s="26"/>
      <c r="G636" s="30">
        <f t="shared" si="19"/>
        <v>2</v>
      </c>
      <c r="H636" s="29">
        <v>96280</v>
      </c>
      <c r="I636" s="28">
        <f t="shared" si="18"/>
        <v>192560</v>
      </c>
    </row>
    <row r="637" spans="1:9" x14ac:dyDescent="0.3">
      <c r="A637" s="30">
        <v>628</v>
      </c>
      <c r="B637" s="30"/>
      <c r="C637" s="33" t="s">
        <v>118</v>
      </c>
      <c r="D637" s="30" t="s">
        <v>88</v>
      </c>
      <c r="E637" s="30">
        <v>4</v>
      </c>
      <c r="F637" s="26"/>
      <c r="G637" s="30">
        <f t="shared" si="19"/>
        <v>4</v>
      </c>
      <c r="H637" s="29">
        <v>192560</v>
      </c>
      <c r="I637" s="28">
        <f t="shared" si="18"/>
        <v>770240</v>
      </c>
    </row>
    <row r="638" spans="1:9" x14ac:dyDescent="0.3">
      <c r="A638" s="30">
        <v>629</v>
      </c>
      <c r="B638" s="30"/>
      <c r="C638" s="33" t="s">
        <v>117</v>
      </c>
      <c r="D638" s="30" t="s">
        <v>88</v>
      </c>
      <c r="E638" s="30">
        <v>2</v>
      </c>
      <c r="F638" s="26"/>
      <c r="G638" s="30">
        <f t="shared" si="19"/>
        <v>2</v>
      </c>
      <c r="H638" s="29">
        <v>96280</v>
      </c>
      <c r="I638" s="28">
        <f t="shared" si="18"/>
        <v>192560</v>
      </c>
    </row>
    <row r="639" spans="1:9" x14ac:dyDescent="0.3">
      <c r="A639" s="30">
        <v>630</v>
      </c>
      <c r="B639" s="30"/>
      <c r="C639" s="33" t="s">
        <v>116</v>
      </c>
      <c r="D639" s="30" t="s">
        <v>88</v>
      </c>
      <c r="E639" s="30">
        <v>1</v>
      </c>
      <c r="F639" s="26"/>
      <c r="G639" s="30">
        <f t="shared" si="19"/>
        <v>1</v>
      </c>
      <c r="H639" s="29">
        <v>48140</v>
      </c>
      <c r="I639" s="28">
        <f t="shared" si="18"/>
        <v>48140</v>
      </c>
    </row>
    <row r="640" spans="1:9" x14ac:dyDescent="0.3">
      <c r="A640" s="30">
        <v>631</v>
      </c>
      <c r="B640" s="30"/>
      <c r="C640" s="33" t="s">
        <v>115</v>
      </c>
      <c r="D640" s="30" t="s">
        <v>88</v>
      </c>
      <c r="E640" s="30">
        <v>4</v>
      </c>
      <c r="F640" s="26"/>
      <c r="G640" s="30">
        <f t="shared" si="19"/>
        <v>4</v>
      </c>
      <c r="H640" s="29">
        <v>87780</v>
      </c>
      <c r="I640" s="28">
        <f t="shared" si="18"/>
        <v>351120</v>
      </c>
    </row>
    <row r="641" spans="1:9" x14ac:dyDescent="0.3">
      <c r="A641" s="30">
        <v>632</v>
      </c>
      <c r="B641" s="30"/>
      <c r="C641" s="33" t="s">
        <v>114</v>
      </c>
      <c r="D641" s="30" t="s">
        <v>88</v>
      </c>
      <c r="E641" s="30">
        <v>2</v>
      </c>
      <c r="F641" s="26"/>
      <c r="G641" s="30">
        <f t="shared" si="19"/>
        <v>2</v>
      </c>
      <c r="H641" s="29">
        <v>56613</v>
      </c>
      <c r="I641" s="28">
        <f t="shared" si="18"/>
        <v>113226</v>
      </c>
    </row>
    <row r="642" spans="1:9" x14ac:dyDescent="0.3">
      <c r="A642" s="30">
        <v>633</v>
      </c>
      <c r="B642" s="30"/>
      <c r="C642" s="33" t="s">
        <v>113</v>
      </c>
      <c r="D642" s="30" t="s">
        <v>88</v>
      </c>
      <c r="E642" s="30">
        <v>2</v>
      </c>
      <c r="F642" s="26"/>
      <c r="G642" s="30">
        <f t="shared" si="19"/>
        <v>2</v>
      </c>
      <c r="H642" s="29">
        <v>64963</v>
      </c>
      <c r="I642" s="28">
        <f t="shared" si="18"/>
        <v>129926</v>
      </c>
    </row>
    <row r="643" spans="1:9" x14ac:dyDescent="0.3">
      <c r="A643" s="30">
        <v>634</v>
      </c>
      <c r="B643" s="30"/>
      <c r="C643" s="33" t="s">
        <v>112</v>
      </c>
      <c r="D643" s="30" t="s">
        <v>88</v>
      </c>
      <c r="E643" s="30">
        <v>2</v>
      </c>
      <c r="F643" s="26"/>
      <c r="G643" s="30">
        <f t="shared" si="19"/>
        <v>2</v>
      </c>
      <c r="H643" s="29">
        <v>48430</v>
      </c>
      <c r="I643" s="28">
        <f t="shared" si="18"/>
        <v>96860</v>
      </c>
    </row>
    <row r="644" spans="1:9" x14ac:dyDescent="0.3">
      <c r="A644" s="30">
        <v>635</v>
      </c>
      <c r="B644" s="30"/>
      <c r="C644" s="33" t="s">
        <v>111</v>
      </c>
      <c r="D644" s="30" t="s">
        <v>88</v>
      </c>
      <c r="E644" s="30">
        <v>1</v>
      </c>
      <c r="F644" s="26"/>
      <c r="G644" s="30">
        <f t="shared" si="19"/>
        <v>1</v>
      </c>
      <c r="H644" s="29">
        <v>3960.5</v>
      </c>
      <c r="I644" s="28">
        <f t="shared" si="18"/>
        <v>3960.5</v>
      </c>
    </row>
    <row r="645" spans="1:9" x14ac:dyDescent="0.3">
      <c r="A645" s="30">
        <v>636</v>
      </c>
      <c r="B645" s="30"/>
      <c r="C645" s="33" t="s">
        <v>110</v>
      </c>
      <c r="D645" s="30" t="s">
        <v>88</v>
      </c>
      <c r="E645" s="30">
        <v>1</v>
      </c>
      <c r="F645" s="26"/>
      <c r="G645" s="30">
        <f t="shared" si="19"/>
        <v>1</v>
      </c>
      <c r="H645" s="29">
        <v>3960.5</v>
      </c>
      <c r="I645" s="28">
        <f t="shared" si="18"/>
        <v>3960.5</v>
      </c>
    </row>
    <row r="646" spans="1:9" x14ac:dyDescent="0.3">
      <c r="A646" s="30">
        <v>637</v>
      </c>
      <c r="B646" s="30"/>
      <c r="C646" s="33" t="s">
        <v>109</v>
      </c>
      <c r="D646" s="30" t="s">
        <v>88</v>
      </c>
      <c r="E646" s="30">
        <v>2</v>
      </c>
      <c r="F646" s="26"/>
      <c r="G646" s="30">
        <f t="shared" si="19"/>
        <v>2</v>
      </c>
      <c r="H646" s="29">
        <v>7921</v>
      </c>
      <c r="I646" s="28">
        <f t="shared" si="18"/>
        <v>15842</v>
      </c>
    </row>
    <row r="647" spans="1:9" x14ac:dyDescent="0.3">
      <c r="A647" s="30">
        <v>638</v>
      </c>
      <c r="B647" s="30"/>
      <c r="C647" s="33" t="s">
        <v>108</v>
      </c>
      <c r="D647" s="30" t="s">
        <v>88</v>
      </c>
      <c r="E647" s="30">
        <v>3</v>
      </c>
      <c r="F647" s="26"/>
      <c r="G647" s="30">
        <f t="shared" si="19"/>
        <v>3</v>
      </c>
      <c r="H647" s="29">
        <v>11881.5</v>
      </c>
      <c r="I647" s="28">
        <f t="shared" si="18"/>
        <v>35644.5</v>
      </c>
    </row>
    <row r="648" spans="1:9" x14ac:dyDescent="0.3">
      <c r="A648" s="30">
        <v>639</v>
      </c>
      <c r="B648" s="30"/>
      <c r="C648" s="33" t="s">
        <v>107</v>
      </c>
      <c r="D648" s="30" t="s">
        <v>88</v>
      </c>
      <c r="E648" s="30">
        <v>6</v>
      </c>
      <c r="F648" s="26"/>
      <c r="G648" s="30">
        <f t="shared" si="19"/>
        <v>6</v>
      </c>
      <c r="H648" s="29">
        <v>72000</v>
      </c>
      <c r="I648" s="28">
        <f t="shared" si="18"/>
        <v>432000</v>
      </c>
    </row>
    <row r="649" spans="1:9" x14ac:dyDescent="0.3">
      <c r="A649" s="30">
        <v>640</v>
      </c>
      <c r="B649" s="30"/>
      <c r="C649" s="33" t="s">
        <v>106</v>
      </c>
      <c r="D649" s="30" t="s">
        <v>88</v>
      </c>
      <c r="E649" s="30">
        <v>3</v>
      </c>
      <c r="F649" s="26"/>
      <c r="G649" s="30">
        <f t="shared" si="19"/>
        <v>3</v>
      </c>
      <c r="H649" s="29">
        <v>45000</v>
      </c>
      <c r="I649" s="28">
        <f t="shared" si="18"/>
        <v>135000</v>
      </c>
    </row>
    <row r="650" spans="1:9" x14ac:dyDescent="0.3">
      <c r="A650" s="30">
        <v>641</v>
      </c>
      <c r="B650" s="30"/>
      <c r="C650" s="32" t="s">
        <v>105</v>
      </c>
      <c r="D650" s="30" t="s">
        <v>88</v>
      </c>
      <c r="E650" s="30">
        <v>5</v>
      </c>
      <c r="F650" s="26"/>
      <c r="G650" s="30">
        <f t="shared" si="19"/>
        <v>5</v>
      </c>
      <c r="H650" s="29">
        <v>45500</v>
      </c>
      <c r="I650" s="28">
        <f t="shared" ref="I650:I713" si="20">G650*H650</f>
        <v>227500</v>
      </c>
    </row>
    <row r="651" spans="1:9" x14ac:dyDescent="0.3">
      <c r="A651" s="30">
        <v>642</v>
      </c>
      <c r="B651" s="30"/>
      <c r="C651" s="31" t="s">
        <v>104</v>
      </c>
      <c r="D651" s="30" t="s">
        <v>88</v>
      </c>
      <c r="E651" s="30">
        <v>3</v>
      </c>
      <c r="F651" s="26"/>
      <c r="G651" s="30">
        <f t="shared" ref="G651:G697" si="21">E651-F651</f>
        <v>3</v>
      </c>
      <c r="H651" s="29">
        <v>14325</v>
      </c>
      <c r="I651" s="28">
        <f t="shared" si="20"/>
        <v>42975</v>
      </c>
    </row>
    <row r="652" spans="1:9" x14ac:dyDescent="0.3">
      <c r="A652" s="30">
        <v>643</v>
      </c>
      <c r="B652" s="30"/>
      <c r="C652" s="31" t="s">
        <v>103</v>
      </c>
      <c r="D652" s="30" t="s">
        <v>88</v>
      </c>
      <c r="E652" s="30">
        <v>4</v>
      </c>
      <c r="F652" s="26"/>
      <c r="G652" s="30">
        <f t="shared" si="21"/>
        <v>4</v>
      </c>
      <c r="H652" s="29">
        <v>20400</v>
      </c>
      <c r="I652" s="28">
        <f t="shared" si="20"/>
        <v>81600</v>
      </c>
    </row>
    <row r="653" spans="1:9" x14ac:dyDescent="0.3">
      <c r="A653" s="30">
        <v>644</v>
      </c>
      <c r="B653" s="30"/>
      <c r="C653" s="31" t="s">
        <v>102</v>
      </c>
      <c r="D653" s="30" t="s">
        <v>88</v>
      </c>
      <c r="E653" s="30">
        <v>4</v>
      </c>
      <c r="F653" s="26"/>
      <c r="G653" s="30">
        <f t="shared" si="21"/>
        <v>4</v>
      </c>
      <c r="H653" s="29">
        <v>36400</v>
      </c>
      <c r="I653" s="28">
        <f t="shared" si="20"/>
        <v>145600</v>
      </c>
    </row>
    <row r="654" spans="1:9" x14ac:dyDescent="0.3">
      <c r="A654" s="30">
        <v>645</v>
      </c>
      <c r="B654" s="30"/>
      <c r="C654" s="31" t="s">
        <v>101</v>
      </c>
      <c r="D654" s="30" t="s">
        <v>88</v>
      </c>
      <c r="E654" s="30">
        <v>2</v>
      </c>
      <c r="F654" s="26"/>
      <c r="G654" s="30">
        <f t="shared" si="21"/>
        <v>2</v>
      </c>
      <c r="H654" s="29">
        <v>9550</v>
      </c>
      <c r="I654" s="28">
        <f t="shared" si="20"/>
        <v>19100</v>
      </c>
    </row>
    <row r="655" spans="1:9" x14ac:dyDescent="0.3">
      <c r="A655" s="30">
        <v>646</v>
      </c>
      <c r="B655" s="30"/>
      <c r="C655" s="31" t="s">
        <v>100</v>
      </c>
      <c r="D655" s="30" t="s">
        <v>88</v>
      </c>
      <c r="E655" s="30">
        <v>6</v>
      </c>
      <c r="F655" s="26"/>
      <c r="G655" s="30">
        <f t="shared" si="21"/>
        <v>6</v>
      </c>
      <c r="H655" s="29">
        <v>54600</v>
      </c>
      <c r="I655" s="28">
        <f t="shared" si="20"/>
        <v>327600</v>
      </c>
    </row>
    <row r="656" spans="1:9" x14ac:dyDescent="0.3">
      <c r="A656" s="30">
        <v>647</v>
      </c>
      <c r="B656" s="30"/>
      <c r="C656" s="31" t="s">
        <v>99</v>
      </c>
      <c r="D656" s="30" t="s">
        <v>88</v>
      </c>
      <c r="E656" s="30">
        <v>3</v>
      </c>
      <c r="F656" s="26"/>
      <c r="G656" s="30">
        <f t="shared" si="21"/>
        <v>3</v>
      </c>
      <c r="H656" s="29">
        <v>16500</v>
      </c>
      <c r="I656" s="28">
        <f t="shared" si="20"/>
        <v>49500</v>
      </c>
    </row>
    <row r="657" spans="1:9" x14ac:dyDescent="0.3">
      <c r="A657" s="30">
        <v>648</v>
      </c>
      <c r="B657" s="30"/>
      <c r="C657" s="31" t="s">
        <v>98</v>
      </c>
      <c r="D657" s="30" t="s">
        <v>88</v>
      </c>
      <c r="E657" s="30">
        <v>4</v>
      </c>
      <c r="F657" s="26"/>
      <c r="G657" s="30">
        <f t="shared" si="21"/>
        <v>4</v>
      </c>
      <c r="H657" s="29">
        <v>33400</v>
      </c>
      <c r="I657" s="28">
        <f t="shared" si="20"/>
        <v>133600</v>
      </c>
    </row>
    <row r="658" spans="1:9" x14ac:dyDescent="0.3">
      <c r="A658" s="30">
        <v>649</v>
      </c>
      <c r="B658" s="30"/>
      <c r="C658" s="31" t="s">
        <v>97</v>
      </c>
      <c r="D658" s="30" t="s">
        <v>88</v>
      </c>
      <c r="E658" s="30">
        <v>4</v>
      </c>
      <c r="F658" s="26"/>
      <c r="G658" s="30">
        <f t="shared" si="21"/>
        <v>4</v>
      </c>
      <c r="H658" s="29">
        <v>22000</v>
      </c>
      <c r="I658" s="28">
        <f t="shared" si="20"/>
        <v>88000</v>
      </c>
    </row>
    <row r="659" spans="1:9" x14ac:dyDescent="0.3">
      <c r="A659" s="30">
        <v>650</v>
      </c>
      <c r="B659" s="30"/>
      <c r="C659" s="31" t="s">
        <v>96</v>
      </c>
      <c r="D659" s="30" t="s">
        <v>88</v>
      </c>
      <c r="E659" s="30">
        <v>6</v>
      </c>
      <c r="F659" s="26"/>
      <c r="G659" s="30">
        <f t="shared" si="21"/>
        <v>6</v>
      </c>
      <c r="H659" s="29">
        <v>27900</v>
      </c>
      <c r="I659" s="28">
        <f t="shared" si="20"/>
        <v>167400</v>
      </c>
    </row>
    <row r="660" spans="1:9" x14ac:dyDescent="0.3">
      <c r="A660" s="30">
        <v>651</v>
      </c>
      <c r="B660" s="30"/>
      <c r="C660" s="31" t="s">
        <v>95</v>
      </c>
      <c r="D660" s="30" t="s">
        <v>88</v>
      </c>
      <c r="E660" s="30">
        <v>2</v>
      </c>
      <c r="F660" s="26"/>
      <c r="G660" s="30">
        <f t="shared" si="21"/>
        <v>2</v>
      </c>
      <c r="H660" s="29">
        <v>11000</v>
      </c>
      <c r="I660" s="28">
        <f t="shared" si="20"/>
        <v>22000</v>
      </c>
    </row>
    <row r="661" spans="1:9" x14ac:dyDescent="0.3">
      <c r="A661" s="30">
        <v>652</v>
      </c>
      <c r="B661" s="30"/>
      <c r="C661" s="31" t="s">
        <v>94</v>
      </c>
      <c r="D661" s="30" t="s">
        <v>88</v>
      </c>
      <c r="E661" s="30">
        <v>4</v>
      </c>
      <c r="F661" s="26"/>
      <c r="G661" s="30">
        <f t="shared" si="21"/>
        <v>4</v>
      </c>
      <c r="H661" s="29">
        <v>33400</v>
      </c>
      <c r="I661" s="28">
        <f t="shared" si="20"/>
        <v>133600</v>
      </c>
    </row>
    <row r="662" spans="1:9" x14ac:dyDescent="0.3">
      <c r="A662" s="30">
        <v>653</v>
      </c>
      <c r="B662" s="30"/>
      <c r="C662" s="31" t="s">
        <v>93</v>
      </c>
      <c r="D662" s="30" t="s">
        <v>88</v>
      </c>
      <c r="E662" s="30">
        <v>4</v>
      </c>
      <c r="F662" s="26"/>
      <c r="G662" s="30">
        <f t="shared" si="21"/>
        <v>4</v>
      </c>
      <c r="H662" s="29">
        <v>36400</v>
      </c>
      <c r="I662" s="28">
        <f t="shared" si="20"/>
        <v>145600</v>
      </c>
    </row>
    <row r="663" spans="1:9" x14ac:dyDescent="0.3">
      <c r="A663" s="30">
        <v>654</v>
      </c>
      <c r="B663" s="30"/>
      <c r="C663" s="31" t="s">
        <v>92</v>
      </c>
      <c r="D663" s="30" t="s">
        <v>88</v>
      </c>
      <c r="E663" s="30">
        <v>6</v>
      </c>
      <c r="F663" s="26"/>
      <c r="G663" s="30">
        <f t="shared" si="21"/>
        <v>6</v>
      </c>
      <c r="H663" s="29">
        <v>27900</v>
      </c>
      <c r="I663" s="28">
        <f t="shared" si="20"/>
        <v>167400</v>
      </c>
    </row>
    <row r="664" spans="1:9" x14ac:dyDescent="0.3">
      <c r="A664" s="30">
        <v>655</v>
      </c>
      <c r="B664" s="30"/>
      <c r="C664" s="31" t="s">
        <v>91</v>
      </c>
      <c r="D664" s="30" t="s">
        <v>88</v>
      </c>
      <c r="E664" s="30">
        <v>5</v>
      </c>
      <c r="F664" s="26"/>
      <c r="G664" s="30">
        <f t="shared" si="21"/>
        <v>5</v>
      </c>
      <c r="H664" s="29">
        <v>25500</v>
      </c>
      <c r="I664" s="28">
        <f t="shared" si="20"/>
        <v>127500</v>
      </c>
    </row>
    <row r="665" spans="1:9" x14ac:dyDescent="0.3">
      <c r="A665" s="30">
        <v>656</v>
      </c>
      <c r="B665" s="30"/>
      <c r="C665" s="31" t="s">
        <v>90</v>
      </c>
      <c r="D665" s="30" t="s">
        <v>88</v>
      </c>
      <c r="E665" s="30">
        <v>4</v>
      </c>
      <c r="F665" s="26"/>
      <c r="G665" s="30">
        <f t="shared" si="21"/>
        <v>4</v>
      </c>
      <c r="H665" s="29">
        <v>22000</v>
      </c>
      <c r="I665" s="28">
        <f t="shared" si="20"/>
        <v>88000</v>
      </c>
    </row>
    <row r="666" spans="1:9" x14ac:dyDescent="0.3">
      <c r="A666" s="30">
        <v>657</v>
      </c>
      <c r="B666" s="30"/>
      <c r="C666" s="31" t="s">
        <v>89</v>
      </c>
      <c r="D666" s="30" t="s">
        <v>88</v>
      </c>
      <c r="E666" s="30">
        <v>3</v>
      </c>
      <c r="F666" s="26"/>
      <c r="G666" s="30">
        <f t="shared" si="21"/>
        <v>3</v>
      </c>
      <c r="H666" s="29">
        <v>27300</v>
      </c>
      <c r="I666" s="28">
        <f t="shared" si="20"/>
        <v>81900</v>
      </c>
    </row>
    <row r="667" spans="1:9" x14ac:dyDescent="0.3">
      <c r="A667" s="30">
        <v>658</v>
      </c>
      <c r="B667" s="30"/>
      <c r="C667" s="32" t="s">
        <v>71</v>
      </c>
      <c r="D667" s="30" t="s">
        <v>88</v>
      </c>
      <c r="E667" s="30">
        <v>36</v>
      </c>
      <c r="F667" s="26"/>
      <c r="G667" s="30">
        <f t="shared" si="21"/>
        <v>36</v>
      </c>
      <c r="H667" s="29">
        <v>126000</v>
      </c>
      <c r="I667" s="28">
        <f t="shared" si="20"/>
        <v>4536000</v>
      </c>
    </row>
    <row r="668" spans="1:9" x14ac:dyDescent="0.3">
      <c r="A668" s="30">
        <v>659</v>
      </c>
      <c r="B668" s="30"/>
      <c r="C668" s="31" t="s">
        <v>72</v>
      </c>
      <c r="D668" s="30" t="s">
        <v>88</v>
      </c>
      <c r="E668" s="30">
        <v>24</v>
      </c>
      <c r="F668" s="26"/>
      <c r="G668" s="30">
        <f t="shared" si="21"/>
        <v>24</v>
      </c>
      <c r="H668" s="29">
        <v>144000</v>
      </c>
      <c r="I668" s="28">
        <f t="shared" si="20"/>
        <v>3456000</v>
      </c>
    </row>
    <row r="669" spans="1:9" x14ac:dyDescent="0.3">
      <c r="A669" s="30">
        <v>660</v>
      </c>
      <c r="B669" s="30"/>
      <c r="C669" s="31" t="s">
        <v>87</v>
      </c>
      <c r="D669" s="30" t="s">
        <v>88</v>
      </c>
      <c r="E669" s="30">
        <v>1</v>
      </c>
      <c r="F669" s="26"/>
      <c r="G669" s="30">
        <f t="shared" si="21"/>
        <v>1</v>
      </c>
      <c r="H669" s="29">
        <v>36000</v>
      </c>
      <c r="I669" s="28">
        <f t="shared" si="20"/>
        <v>36000</v>
      </c>
    </row>
    <row r="670" spans="1:9" x14ac:dyDescent="0.3">
      <c r="A670" s="30">
        <v>661</v>
      </c>
      <c r="B670" s="30"/>
      <c r="C670" s="31" t="s">
        <v>86</v>
      </c>
      <c r="D670" s="30" t="s">
        <v>88</v>
      </c>
      <c r="E670" s="30">
        <v>12</v>
      </c>
      <c r="F670" s="26"/>
      <c r="G670" s="30">
        <f t="shared" si="21"/>
        <v>12</v>
      </c>
      <c r="H670" s="29">
        <v>120000</v>
      </c>
      <c r="I670" s="28">
        <f t="shared" si="20"/>
        <v>1440000</v>
      </c>
    </row>
    <row r="671" spans="1:9" x14ac:dyDescent="0.3">
      <c r="A671" s="30">
        <v>662</v>
      </c>
      <c r="B671" s="30"/>
      <c r="C671" s="31" t="s">
        <v>85</v>
      </c>
      <c r="D671" s="30" t="s">
        <v>88</v>
      </c>
      <c r="E671" s="30">
        <v>1</v>
      </c>
      <c r="F671" s="26"/>
      <c r="G671" s="30">
        <f t="shared" si="21"/>
        <v>1</v>
      </c>
      <c r="H671" s="29">
        <v>60000</v>
      </c>
      <c r="I671" s="28">
        <f t="shared" si="20"/>
        <v>60000</v>
      </c>
    </row>
    <row r="672" spans="1:9" x14ac:dyDescent="0.3">
      <c r="A672" s="30">
        <v>663</v>
      </c>
      <c r="B672" s="30"/>
      <c r="C672" s="31" t="s">
        <v>84</v>
      </c>
      <c r="D672" s="30" t="s">
        <v>88</v>
      </c>
      <c r="E672" s="30">
        <v>1</v>
      </c>
      <c r="F672" s="26"/>
      <c r="G672" s="30">
        <f t="shared" si="21"/>
        <v>1</v>
      </c>
      <c r="H672" s="29">
        <v>36000</v>
      </c>
      <c r="I672" s="28">
        <f t="shared" si="20"/>
        <v>36000</v>
      </c>
    </row>
    <row r="673" spans="1:9" x14ac:dyDescent="0.3">
      <c r="A673" s="30">
        <v>664</v>
      </c>
      <c r="B673" s="30"/>
      <c r="C673" s="31" t="s">
        <v>83</v>
      </c>
      <c r="D673" s="30" t="s">
        <v>88</v>
      </c>
      <c r="E673" s="30">
        <v>1</v>
      </c>
      <c r="F673" s="26"/>
      <c r="G673" s="30">
        <f t="shared" si="21"/>
        <v>1</v>
      </c>
      <c r="H673" s="29">
        <v>120000</v>
      </c>
      <c r="I673" s="28">
        <f t="shared" si="20"/>
        <v>120000</v>
      </c>
    </row>
    <row r="674" spans="1:9" x14ac:dyDescent="0.3">
      <c r="A674" s="30">
        <v>665</v>
      </c>
      <c r="B674" s="30"/>
      <c r="C674" s="31" t="s">
        <v>82</v>
      </c>
      <c r="D674" s="30" t="s">
        <v>88</v>
      </c>
      <c r="E674" s="30">
        <v>12</v>
      </c>
      <c r="F674" s="26"/>
      <c r="G674" s="30">
        <f t="shared" si="21"/>
        <v>12</v>
      </c>
      <c r="H674" s="29">
        <v>60000</v>
      </c>
      <c r="I674" s="28">
        <f t="shared" si="20"/>
        <v>720000</v>
      </c>
    </row>
    <row r="675" spans="1:9" x14ac:dyDescent="0.3">
      <c r="A675" s="30">
        <v>666</v>
      </c>
      <c r="B675" s="30"/>
      <c r="C675" s="31" t="s">
        <v>81</v>
      </c>
      <c r="D675" s="30" t="s">
        <v>88</v>
      </c>
      <c r="E675" s="30">
        <v>1</v>
      </c>
      <c r="F675" s="26"/>
      <c r="G675" s="30">
        <f t="shared" si="21"/>
        <v>1</v>
      </c>
      <c r="H675" s="29">
        <v>66000</v>
      </c>
      <c r="I675" s="28">
        <f t="shared" si="20"/>
        <v>66000</v>
      </c>
    </row>
    <row r="676" spans="1:9" x14ac:dyDescent="0.3">
      <c r="A676" s="30">
        <v>667</v>
      </c>
      <c r="B676" s="30"/>
      <c r="C676" s="31" t="s">
        <v>80</v>
      </c>
      <c r="D676" s="30" t="s">
        <v>88</v>
      </c>
      <c r="E676" s="30">
        <v>12</v>
      </c>
      <c r="F676" s="26"/>
      <c r="G676" s="30">
        <f t="shared" si="21"/>
        <v>12</v>
      </c>
      <c r="H676" s="29">
        <v>102000</v>
      </c>
      <c r="I676" s="28">
        <f t="shared" si="20"/>
        <v>1224000</v>
      </c>
    </row>
    <row r="677" spans="1:9" x14ac:dyDescent="0.3">
      <c r="A677" s="30">
        <v>668</v>
      </c>
      <c r="B677" s="30"/>
      <c r="C677" s="31" t="s">
        <v>79</v>
      </c>
      <c r="D677" s="30" t="s">
        <v>88</v>
      </c>
      <c r="E677" s="30">
        <v>12</v>
      </c>
      <c r="F677" s="26"/>
      <c r="G677" s="30">
        <f t="shared" si="21"/>
        <v>12</v>
      </c>
      <c r="H677" s="29">
        <v>264000</v>
      </c>
      <c r="I677" s="28">
        <f t="shared" si="20"/>
        <v>3168000</v>
      </c>
    </row>
    <row r="678" spans="1:9" x14ac:dyDescent="0.3">
      <c r="A678" s="30">
        <v>669</v>
      </c>
      <c r="B678" s="30"/>
      <c r="C678" s="31" t="s">
        <v>78</v>
      </c>
      <c r="D678" s="30" t="s">
        <v>88</v>
      </c>
      <c r="E678" s="30">
        <v>1</v>
      </c>
      <c r="F678" s="26"/>
      <c r="G678" s="30">
        <f t="shared" si="21"/>
        <v>1</v>
      </c>
      <c r="H678" s="29">
        <v>156000</v>
      </c>
      <c r="I678" s="28">
        <f t="shared" si="20"/>
        <v>156000</v>
      </c>
    </row>
    <row r="679" spans="1:9" x14ac:dyDescent="0.3">
      <c r="A679" s="30">
        <v>670</v>
      </c>
      <c r="B679" s="30"/>
      <c r="C679" s="31" t="s">
        <v>77</v>
      </c>
      <c r="D679" s="30" t="s">
        <v>88</v>
      </c>
      <c r="E679" s="30">
        <v>6</v>
      </c>
      <c r="F679" s="26"/>
      <c r="G679" s="30">
        <f t="shared" si="21"/>
        <v>6</v>
      </c>
      <c r="H679" s="29">
        <v>45000</v>
      </c>
      <c r="I679" s="28">
        <f t="shared" si="20"/>
        <v>270000</v>
      </c>
    </row>
    <row r="680" spans="1:9" x14ac:dyDescent="0.3">
      <c r="A680" s="30">
        <v>671</v>
      </c>
      <c r="B680" s="30"/>
      <c r="C680" s="31" t="s">
        <v>76</v>
      </c>
      <c r="D680" s="30" t="s">
        <v>88</v>
      </c>
      <c r="E680" s="30">
        <v>6</v>
      </c>
      <c r="F680" s="26"/>
      <c r="G680" s="30">
        <f t="shared" si="21"/>
        <v>6</v>
      </c>
      <c r="H680" s="29">
        <v>288000</v>
      </c>
      <c r="I680" s="28">
        <f t="shared" si="20"/>
        <v>1728000</v>
      </c>
    </row>
    <row r="681" spans="1:9" x14ac:dyDescent="0.3">
      <c r="A681" s="30">
        <v>672</v>
      </c>
      <c r="B681" s="30"/>
      <c r="C681" s="31" t="s">
        <v>75</v>
      </c>
      <c r="D681" s="30" t="s">
        <v>88</v>
      </c>
      <c r="E681" s="30">
        <v>12</v>
      </c>
      <c r="F681" s="26"/>
      <c r="G681" s="30">
        <f t="shared" si="21"/>
        <v>12</v>
      </c>
      <c r="H681" s="29">
        <v>48000</v>
      </c>
      <c r="I681" s="28">
        <f t="shared" si="20"/>
        <v>576000</v>
      </c>
    </row>
    <row r="682" spans="1:9" x14ac:dyDescent="0.3">
      <c r="A682" s="30">
        <v>673</v>
      </c>
      <c r="B682" s="30"/>
      <c r="C682" s="31" t="s">
        <v>74</v>
      </c>
      <c r="D682" s="30" t="s">
        <v>88</v>
      </c>
      <c r="E682" s="30">
        <v>12</v>
      </c>
      <c r="F682" s="26"/>
      <c r="G682" s="30">
        <f t="shared" si="21"/>
        <v>12</v>
      </c>
      <c r="H682" s="29">
        <v>96000</v>
      </c>
      <c r="I682" s="28">
        <f t="shared" si="20"/>
        <v>1152000</v>
      </c>
    </row>
    <row r="683" spans="1:9" x14ac:dyDescent="0.3">
      <c r="A683" s="30">
        <v>674</v>
      </c>
      <c r="B683" s="30"/>
      <c r="C683" s="31" t="s">
        <v>73</v>
      </c>
      <c r="D683" s="30" t="s">
        <v>88</v>
      </c>
      <c r="E683" s="30">
        <v>2</v>
      </c>
      <c r="F683" s="26"/>
      <c r="G683" s="30">
        <f t="shared" si="21"/>
        <v>2</v>
      </c>
      <c r="H683" s="29">
        <v>44000</v>
      </c>
      <c r="I683" s="28">
        <f t="shared" si="20"/>
        <v>88000</v>
      </c>
    </row>
    <row r="684" spans="1:9" x14ac:dyDescent="0.3">
      <c r="A684" s="30">
        <v>675</v>
      </c>
      <c r="B684" s="30"/>
      <c r="C684" s="31" t="s">
        <v>72</v>
      </c>
      <c r="D684" s="30" t="s">
        <v>88</v>
      </c>
      <c r="E684" s="30">
        <v>12</v>
      </c>
      <c r="F684" s="26"/>
      <c r="G684" s="30">
        <f t="shared" si="21"/>
        <v>12</v>
      </c>
      <c r="H684" s="29">
        <v>54000</v>
      </c>
      <c r="I684" s="28">
        <f t="shared" si="20"/>
        <v>648000</v>
      </c>
    </row>
    <row r="685" spans="1:9" x14ac:dyDescent="0.3">
      <c r="A685" s="30">
        <v>676</v>
      </c>
      <c r="B685" s="30"/>
      <c r="C685" s="31" t="s">
        <v>71</v>
      </c>
      <c r="D685" s="30" t="s">
        <v>88</v>
      </c>
      <c r="E685" s="30">
        <v>12</v>
      </c>
      <c r="F685" s="26"/>
      <c r="G685" s="30">
        <f t="shared" si="21"/>
        <v>12</v>
      </c>
      <c r="H685" s="29">
        <v>36000</v>
      </c>
      <c r="I685" s="28">
        <f t="shared" si="20"/>
        <v>432000</v>
      </c>
    </row>
    <row r="686" spans="1:9" x14ac:dyDescent="0.3">
      <c r="A686" s="30">
        <v>677</v>
      </c>
      <c r="B686" s="30"/>
      <c r="C686" s="31" t="s">
        <v>70</v>
      </c>
      <c r="D686" s="30" t="s">
        <v>88</v>
      </c>
      <c r="E686" s="30">
        <v>12</v>
      </c>
      <c r="F686" s="26"/>
      <c r="G686" s="30">
        <f t="shared" si="21"/>
        <v>12</v>
      </c>
      <c r="H686" s="29">
        <v>36000</v>
      </c>
      <c r="I686" s="28">
        <f t="shared" si="20"/>
        <v>432000</v>
      </c>
    </row>
    <row r="687" spans="1:9" x14ac:dyDescent="0.3">
      <c r="A687" s="30">
        <v>678</v>
      </c>
      <c r="B687" s="30"/>
      <c r="C687" s="31" t="s">
        <v>69</v>
      </c>
      <c r="D687" s="30" t="s">
        <v>88</v>
      </c>
      <c r="E687" s="30">
        <v>1</v>
      </c>
      <c r="F687" s="26"/>
      <c r="G687" s="30">
        <f t="shared" si="21"/>
        <v>1</v>
      </c>
      <c r="H687" s="29">
        <v>39000</v>
      </c>
      <c r="I687" s="28">
        <f t="shared" si="20"/>
        <v>39000</v>
      </c>
    </row>
    <row r="688" spans="1:9" x14ac:dyDescent="0.3">
      <c r="A688" s="30">
        <v>679</v>
      </c>
      <c r="B688" s="30"/>
      <c r="C688" s="31" t="s">
        <v>68</v>
      </c>
      <c r="D688" s="30" t="s">
        <v>88</v>
      </c>
      <c r="E688" s="30">
        <v>1</v>
      </c>
      <c r="F688" s="26"/>
      <c r="G688" s="30">
        <f t="shared" si="21"/>
        <v>1</v>
      </c>
      <c r="H688" s="29">
        <v>20000</v>
      </c>
      <c r="I688" s="28">
        <f t="shared" si="20"/>
        <v>20000</v>
      </c>
    </row>
    <row r="689" spans="1:9" x14ac:dyDescent="0.3">
      <c r="A689" s="30">
        <v>680</v>
      </c>
      <c r="B689" s="30"/>
      <c r="C689" s="31" t="s">
        <v>67</v>
      </c>
      <c r="D689" s="30" t="s">
        <v>88</v>
      </c>
      <c r="E689" s="30">
        <v>12</v>
      </c>
      <c r="F689" s="26"/>
      <c r="G689" s="30">
        <f t="shared" si="21"/>
        <v>12</v>
      </c>
      <c r="H689" s="29">
        <v>42000</v>
      </c>
      <c r="I689" s="28">
        <f t="shared" si="20"/>
        <v>504000</v>
      </c>
    </row>
    <row r="690" spans="1:9" x14ac:dyDescent="0.3">
      <c r="A690" s="30">
        <v>681</v>
      </c>
      <c r="B690" s="30"/>
      <c r="C690" s="31" t="s">
        <v>66</v>
      </c>
      <c r="D690" s="30" t="s">
        <v>88</v>
      </c>
      <c r="E690" s="30">
        <v>12</v>
      </c>
      <c r="F690" s="26"/>
      <c r="G690" s="30">
        <f t="shared" si="21"/>
        <v>12</v>
      </c>
      <c r="H690" s="29">
        <v>54000</v>
      </c>
      <c r="I690" s="28">
        <f t="shared" si="20"/>
        <v>648000</v>
      </c>
    </row>
    <row r="691" spans="1:9" x14ac:dyDescent="0.3">
      <c r="A691" s="30">
        <v>682</v>
      </c>
      <c r="B691" s="30"/>
      <c r="C691" s="31" t="s">
        <v>65</v>
      </c>
      <c r="D691" s="30" t="s">
        <v>88</v>
      </c>
      <c r="E691" s="30">
        <v>12</v>
      </c>
      <c r="F691" s="26"/>
      <c r="G691" s="30">
        <f t="shared" si="21"/>
        <v>12</v>
      </c>
      <c r="H691" s="29">
        <v>168000</v>
      </c>
      <c r="I691" s="28">
        <f t="shared" si="20"/>
        <v>2016000</v>
      </c>
    </row>
    <row r="692" spans="1:9" x14ac:dyDescent="0.3">
      <c r="A692" s="30">
        <v>683</v>
      </c>
      <c r="B692" s="30"/>
      <c r="C692" s="31" t="s">
        <v>64</v>
      </c>
      <c r="D692" s="30" t="s">
        <v>88</v>
      </c>
      <c r="E692" s="30">
        <v>12</v>
      </c>
      <c r="F692" s="26"/>
      <c r="G692" s="30">
        <f t="shared" si="21"/>
        <v>12</v>
      </c>
      <c r="H692" s="29">
        <v>48000</v>
      </c>
      <c r="I692" s="28">
        <f t="shared" si="20"/>
        <v>576000</v>
      </c>
    </row>
    <row r="693" spans="1:9" x14ac:dyDescent="0.3">
      <c r="A693" s="30">
        <v>684</v>
      </c>
      <c r="B693" s="30"/>
      <c r="C693" s="31" t="s">
        <v>63</v>
      </c>
      <c r="D693" s="30" t="s">
        <v>88</v>
      </c>
      <c r="E693" s="30">
        <v>12</v>
      </c>
      <c r="F693" s="26"/>
      <c r="G693" s="30">
        <f t="shared" si="21"/>
        <v>12</v>
      </c>
      <c r="H693" s="29">
        <v>48000</v>
      </c>
      <c r="I693" s="28">
        <f t="shared" si="20"/>
        <v>576000</v>
      </c>
    </row>
    <row r="694" spans="1:9" x14ac:dyDescent="0.3">
      <c r="A694" s="30">
        <v>685</v>
      </c>
      <c r="B694" s="30"/>
      <c r="C694" s="31" t="s">
        <v>62</v>
      </c>
      <c r="D694" s="30" t="s">
        <v>88</v>
      </c>
      <c r="E694" s="30">
        <v>10</v>
      </c>
      <c r="F694" s="26"/>
      <c r="G694" s="30">
        <f t="shared" si="21"/>
        <v>10</v>
      </c>
      <c r="H694" s="29">
        <v>250000</v>
      </c>
      <c r="I694" s="28">
        <f t="shared" si="20"/>
        <v>2500000</v>
      </c>
    </row>
    <row r="695" spans="1:9" x14ac:dyDescent="0.3">
      <c r="A695" s="30">
        <v>686</v>
      </c>
      <c r="B695" s="30"/>
      <c r="C695" s="31" t="s">
        <v>61</v>
      </c>
      <c r="D695" s="30" t="s">
        <v>88</v>
      </c>
      <c r="E695" s="30">
        <v>1</v>
      </c>
      <c r="F695" s="26"/>
      <c r="G695" s="30">
        <f t="shared" si="21"/>
        <v>1</v>
      </c>
      <c r="H695" s="29">
        <v>66000</v>
      </c>
      <c r="I695" s="28">
        <f t="shared" si="20"/>
        <v>66000</v>
      </c>
    </row>
    <row r="696" spans="1:9" x14ac:dyDescent="0.3">
      <c r="A696" s="30">
        <v>687</v>
      </c>
      <c r="B696" s="30"/>
      <c r="C696" s="31" t="s">
        <v>60</v>
      </c>
      <c r="D696" s="30" t="s">
        <v>88</v>
      </c>
      <c r="E696" s="30">
        <v>12</v>
      </c>
      <c r="F696" s="26"/>
      <c r="G696" s="30">
        <f t="shared" si="21"/>
        <v>12</v>
      </c>
      <c r="H696" s="29">
        <v>42000</v>
      </c>
      <c r="I696" s="28">
        <f t="shared" si="20"/>
        <v>504000</v>
      </c>
    </row>
    <row r="697" spans="1:9" x14ac:dyDescent="0.3">
      <c r="A697" s="30">
        <v>688</v>
      </c>
      <c r="B697" s="30"/>
      <c r="C697" s="31" t="s">
        <v>59</v>
      </c>
      <c r="D697" s="30" t="s">
        <v>88</v>
      </c>
      <c r="E697" s="30">
        <v>30</v>
      </c>
      <c r="F697" s="26"/>
      <c r="G697" s="30">
        <f t="shared" si="21"/>
        <v>30</v>
      </c>
      <c r="H697" s="29">
        <v>172500</v>
      </c>
      <c r="I697" s="28">
        <f t="shared" si="20"/>
        <v>5175000</v>
      </c>
    </row>
  </sheetData>
  <mergeCells count="11">
    <mergeCell ref="A1:I5"/>
    <mergeCell ref="A6:J6"/>
    <mergeCell ref="B8:B9"/>
    <mergeCell ref="G8:G9"/>
    <mergeCell ref="H8:H9"/>
    <mergeCell ref="I8:I9"/>
    <mergeCell ref="A8:A9"/>
    <mergeCell ref="C8:C9"/>
    <mergeCell ref="D8:D9"/>
    <mergeCell ref="E8:E9"/>
    <mergeCell ref="F8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311"/>
  <sheetViews>
    <sheetView showGridLines="0" tabSelected="1" workbookViewId="0">
      <pane ySplit="4" topLeftCell="A5" activePane="bottomLeft" state="frozen"/>
      <selection pane="bottomLeft" sqref="A1:K1"/>
    </sheetView>
  </sheetViews>
  <sheetFormatPr defaultRowHeight="14.4" x14ac:dyDescent="0.3"/>
  <cols>
    <col min="1" max="1" width="5" customWidth="1"/>
    <col min="2" max="2" width="14" customWidth="1"/>
    <col min="3" max="3" width="34" customWidth="1"/>
    <col min="4" max="6" width="12" customWidth="1"/>
    <col min="7" max="8" width="14" customWidth="1"/>
    <col min="9" max="10" width="12" customWidth="1"/>
    <col min="11" max="11" width="28" customWidth="1"/>
  </cols>
  <sheetData>
    <row r="1" spans="1:11" ht="81" customHeight="1" x14ac:dyDescent="0.55000000000000004">
      <c r="A1" s="45" t="s">
        <v>48</v>
      </c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9.95" customHeight="1" x14ac:dyDescent="0.3">
      <c r="A2" s="47" t="s">
        <v>26</v>
      </c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1" ht="19.95" customHeight="1" thickBot="1" x14ac:dyDescent="0.35">
      <c r="A3" s="5"/>
    </row>
    <row r="4" spans="1:11" ht="25.95" customHeight="1" thickBot="1" x14ac:dyDescent="0.35">
      <c r="A4" s="25" t="s">
        <v>27</v>
      </c>
      <c r="B4" s="25" t="s">
        <v>28</v>
      </c>
      <c r="C4" s="25" t="s">
        <v>29</v>
      </c>
      <c r="D4" s="25" t="s">
        <v>30</v>
      </c>
      <c r="E4" s="25" t="s">
        <v>753</v>
      </c>
      <c r="F4" s="25" t="s">
        <v>754</v>
      </c>
      <c r="G4" s="25" t="s">
        <v>31</v>
      </c>
      <c r="H4" s="25" t="s">
        <v>32</v>
      </c>
      <c r="I4" s="25" t="s">
        <v>23</v>
      </c>
      <c r="J4" s="25" t="s">
        <v>24</v>
      </c>
      <c r="K4" s="25" t="s">
        <v>33</v>
      </c>
    </row>
    <row r="5" spans="1:11" ht="18" customHeight="1" x14ac:dyDescent="0.3">
      <c r="A5" s="6">
        <v>1</v>
      </c>
      <c r="B5" s="7"/>
      <c r="C5" s="7" t="s">
        <v>49</v>
      </c>
      <c r="D5" s="8" t="s">
        <v>58</v>
      </c>
      <c r="E5" s="8">
        <v>5</v>
      </c>
      <c r="F5" s="8">
        <v>4</v>
      </c>
      <c r="G5" s="8">
        <v>6</v>
      </c>
      <c r="H5" s="8">
        <v>5</v>
      </c>
      <c r="I5" s="9">
        <f>IFERROR(H5-G5,"-")</f>
        <v>-1</v>
      </c>
      <c r="J5" s="10" t="str">
        <f t="shared" ref="J5:J36" si="0">IF(OR(I5="-",I5=""),"",IF(I5=0,"OK",IF(I5&gt;0,"Surplus","Kurang")))</f>
        <v>Kurang</v>
      </c>
      <c r="K5" s="11"/>
    </row>
    <row r="6" spans="1:11" ht="18" customHeight="1" x14ac:dyDescent="0.3">
      <c r="A6" s="12">
        <v>2</v>
      </c>
      <c r="B6" s="13"/>
      <c r="C6" s="13" t="s">
        <v>50</v>
      </c>
      <c r="D6" s="8" t="s">
        <v>58</v>
      </c>
      <c r="E6" s="8"/>
      <c r="F6" s="8"/>
      <c r="G6" s="14"/>
      <c r="H6" s="14"/>
      <c r="I6" s="15">
        <f>IFERROR(H6-G6,"-")</f>
        <v>0</v>
      </c>
      <c r="J6" s="16" t="str">
        <f t="shared" si="0"/>
        <v>OK</v>
      </c>
      <c r="K6" s="17"/>
    </row>
    <row r="7" spans="1:11" ht="18" customHeight="1" x14ac:dyDescent="0.3">
      <c r="A7" s="6">
        <v>3</v>
      </c>
      <c r="B7" s="7"/>
      <c r="C7" s="7" t="s">
        <v>51</v>
      </c>
      <c r="D7" s="8" t="s">
        <v>58</v>
      </c>
      <c r="E7" s="8"/>
      <c r="F7" s="8"/>
      <c r="G7" s="8"/>
      <c r="H7" s="8"/>
      <c r="I7" s="9">
        <f>IFERROR(H7-G7,"-")</f>
        <v>0</v>
      </c>
      <c r="J7" s="10" t="str">
        <f t="shared" si="0"/>
        <v>OK</v>
      </c>
      <c r="K7" s="11"/>
    </row>
    <row r="8" spans="1:11" ht="18" customHeight="1" x14ac:dyDescent="0.3">
      <c r="A8" s="12">
        <v>4</v>
      </c>
      <c r="B8" s="13"/>
      <c r="C8" s="13" t="s">
        <v>52</v>
      </c>
      <c r="D8" s="14" t="s">
        <v>58</v>
      </c>
      <c r="E8" s="14"/>
      <c r="F8" s="14"/>
      <c r="G8" s="14"/>
      <c r="H8" s="14"/>
      <c r="I8" s="15">
        <f>IFERROR(H8-G8,"-")</f>
        <v>0</v>
      </c>
      <c r="J8" s="16" t="str">
        <f t="shared" si="0"/>
        <v>OK</v>
      </c>
      <c r="K8" s="17"/>
    </row>
    <row r="9" spans="1:11" ht="18" customHeight="1" x14ac:dyDescent="0.3">
      <c r="A9" s="6">
        <v>5</v>
      </c>
      <c r="B9" s="7"/>
      <c r="C9" s="7" t="s">
        <v>53</v>
      </c>
      <c r="D9" s="8" t="s">
        <v>58</v>
      </c>
      <c r="E9" s="8"/>
      <c r="F9" s="8"/>
      <c r="G9" s="8"/>
      <c r="H9" s="8"/>
      <c r="I9" s="9">
        <f>IFERROR(H9-G9,"-")</f>
        <v>0</v>
      </c>
      <c r="J9" s="10" t="str">
        <f t="shared" si="0"/>
        <v>OK</v>
      </c>
      <c r="K9" s="11"/>
    </row>
    <row r="10" spans="1:11" ht="18" customHeight="1" x14ac:dyDescent="0.3">
      <c r="A10" s="12">
        <v>6</v>
      </c>
      <c r="B10" s="13"/>
      <c r="C10" s="13" t="s">
        <v>54</v>
      </c>
      <c r="D10" s="14" t="s">
        <v>58</v>
      </c>
      <c r="E10" s="14"/>
      <c r="F10" s="14"/>
      <c r="G10" s="14"/>
      <c r="H10" s="14"/>
      <c r="I10" s="15">
        <f>IFERROR(H10-G10,"-")</f>
        <v>0</v>
      </c>
      <c r="J10" s="16" t="str">
        <f t="shared" si="0"/>
        <v>OK</v>
      </c>
      <c r="K10" s="17"/>
    </row>
    <row r="11" spans="1:11" ht="18" customHeight="1" x14ac:dyDescent="0.3">
      <c r="A11" s="6">
        <v>7</v>
      </c>
      <c r="B11" s="7"/>
      <c r="C11" s="7" t="s">
        <v>55</v>
      </c>
      <c r="D11" s="8" t="s">
        <v>58</v>
      </c>
      <c r="E11" s="8"/>
      <c r="F11" s="8"/>
      <c r="G11" s="8"/>
      <c r="H11" s="8"/>
      <c r="I11" s="9">
        <f>IFERROR(H11-G11,"-")</f>
        <v>0</v>
      </c>
      <c r="J11" s="10" t="str">
        <f t="shared" si="0"/>
        <v>OK</v>
      </c>
      <c r="K11" s="11"/>
    </row>
    <row r="12" spans="1:11" ht="18" customHeight="1" x14ac:dyDescent="0.3">
      <c r="A12" s="12">
        <v>8</v>
      </c>
      <c r="B12" s="13"/>
      <c r="C12" s="13" t="s">
        <v>56</v>
      </c>
      <c r="D12" s="14" t="s">
        <v>58</v>
      </c>
      <c r="E12" s="14"/>
      <c r="F12" s="14"/>
      <c r="G12" s="14"/>
      <c r="H12" s="14"/>
      <c r="I12" s="15">
        <f>IFERROR(H12-G12,"-")</f>
        <v>0</v>
      </c>
      <c r="J12" s="16" t="str">
        <f t="shared" si="0"/>
        <v>OK</v>
      </c>
      <c r="K12" s="17"/>
    </row>
    <row r="13" spans="1:11" ht="18" customHeight="1" x14ac:dyDescent="0.3">
      <c r="A13" s="6">
        <v>9</v>
      </c>
      <c r="B13" s="7"/>
      <c r="C13" s="7" t="s">
        <v>57</v>
      </c>
      <c r="D13" s="14" t="s">
        <v>58</v>
      </c>
      <c r="E13" s="14"/>
      <c r="F13" s="14"/>
      <c r="G13" s="8"/>
      <c r="H13" s="8"/>
      <c r="I13" s="9">
        <f>IFERROR(H13-G13,"-")</f>
        <v>0</v>
      </c>
      <c r="J13" s="10" t="str">
        <f t="shared" si="0"/>
        <v>OK</v>
      </c>
      <c r="K13" s="11"/>
    </row>
    <row r="14" spans="1:11" ht="18" customHeight="1" x14ac:dyDescent="0.3">
      <c r="A14" s="12">
        <v>10</v>
      </c>
      <c r="B14" s="13"/>
      <c r="C14" s="13"/>
      <c r="D14" s="8" t="s">
        <v>58</v>
      </c>
      <c r="E14" s="14"/>
      <c r="F14" s="14"/>
      <c r="G14" s="14"/>
      <c r="H14" s="14"/>
      <c r="I14" s="15">
        <f>IFERROR(H14-G14,"-")</f>
        <v>0</v>
      </c>
      <c r="J14" s="16" t="str">
        <f t="shared" si="0"/>
        <v>OK</v>
      </c>
      <c r="K14" s="17"/>
    </row>
    <row r="15" spans="1:11" ht="18" customHeight="1" x14ac:dyDescent="0.3">
      <c r="A15" s="6">
        <v>11</v>
      </c>
      <c r="B15" s="7"/>
      <c r="C15" s="7"/>
      <c r="D15" s="8"/>
      <c r="E15" s="14"/>
      <c r="F15" s="14"/>
      <c r="G15" s="14"/>
      <c r="H15" s="8"/>
      <c r="I15" s="9">
        <f>IFERROR(H15-G15,"-")</f>
        <v>0</v>
      </c>
      <c r="J15" s="10" t="str">
        <f t="shared" si="0"/>
        <v>OK</v>
      </c>
      <c r="K15" s="11"/>
    </row>
    <row r="16" spans="1:11" ht="18" customHeight="1" x14ac:dyDescent="0.3">
      <c r="A16" s="12">
        <v>12</v>
      </c>
      <c r="B16" s="13"/>
      <c r="C16" s="13"/>
      <c r="D16" s="14"/>
      <c r="E16" s="14"/>
      <c r="F16" s="14"/>
      <c r="G16" s="14"/>
      <c r="H16" s="14"/>
      <c r="I16" s="15">
        <f>IFERROR(H16-G16,"-")</f>
        <v>0</v>
      </c>
      <c r="J16" s="16" t="str">
        <f t="shared" si="0"/>
        <v>OK</v>
      </c>
      <c r="K16" s="17"/>
    </row>
    <row r="17" spans="1:11" ht="18" customHeight="1" x14ac:dyDescent="0.3">
      <c r="A17" s="6">
        <v>13</v>
      </c>
      <c r="B17" s="7"/>
      <c r="C17" s="7"/>
      <c r="D17" s="8"/>
      <c r="E17" s="8"/>
      <c r="F17" s="8"/>
      <c r="G17" s="8"/>
      <c r="H17" s="8"/>
      <c r="I17" s="9">
        <f>IFERROR(H17-G17,"-")</f>
        <v>0</v>
      </c>
      <c r="J17" s="10" t="str">
        <f t="shared" si="0"/>
        <v>OK</v>
      </c>
      <c r="K17" s="11"/>
    </row>
    <row r="18" spans="1:11" ht="18" customHeight="1" x14ac:dyDescent="0.3">
      <c r="A18" s="12">
        <v>14</v>
      </c>
      <c r="B18" s="13"/>
      <c r="C18" s="13"/>
      <c r="D18" s="14"/>
      <c r="E18" s="14"/>
      <c r="F18" s="14"/>
      <c r="G18" s="14"/>
      <c r="H18" s="14"/>
      <c r="I18" s="15">
        <f>IFERROR(H18-G18,"-")</f>
        <v>0</v>
      </c>
      <c r="J18" s="16" t="str">
        <f t="shared" si="0"/>
        <v>OK</v>
      </c>
      <c r="K18" s="17"/>
    </row>
    <row r="19" spans="1:11" ht="18" customHeight="1" x14ac:dyDescent="0.3">
      <c r="A19" s="6">
        <v>15</v>
      </c>
      <c r="B19" s="7"/>
      <c r="C19" s="7"/>
      <c r="D19" s="8"/>
      <c r="E19" s="8"/>
      <c r="F19" s="8"/>
      <c r="G19" s="8"/>
      <c r="H19" s="8"/>
      <c r="I19" s="9">
        <f>IFERROR(H19-G19,"-")</f>
        <v>0</v>
      </c>
      <c r="J19" s="10" t="str">
        <f t="shared" si="0"/>
        <v>OK</v>
      </c>
      <c r="K19" s="11"/>
    </row>
    <row r="20" spans="1:11" ht="18" customHeight="1" x14ac:dyDescent="0.3">
      <c r="A20" s="12">
        <v>16</v>
      </c>
      <c r="B20" s="13"/>
      <c r="C20" s="13"/>
      <c r="D20" s="14"/>
      <c r="E20" s="14"/>
      <c r="F20" s="14"/>
      <c r="G20" s="14"/>
      <c r="H20" s="14"/>
      <c r="I20" s="15">
        <f>IFERROR(H20-G20,"-")</f>
        <v>0</v>
      </c>
      <c r="J20" s="16" t="str">
        <f t="shared" si="0"/>
        <v>OK</v>
      </c>
      <c r="K20" s="17"/>
    </row>
    <row r="21" spans="1:11" ht="18" customHeight="1" x14ac:dyDescent="0.3">
      <c r="A21" s="6">
        <v>17</v>
      </c>
      <c r="B21" s="7"/>
      <c r="C21" s="7"/>
      <c r="D21" s="8"/>
      <c r="E21" s="8"/>
      <c r="F21" s="8"/>
      <c r="G21" s="8"/>
      <c r="H21" s="8"/>
      <c r="I21" s="9">
        <f>IFERROR(H21-G21,"-")</f>
        <v>0</v>
      </c>
      <c r="J21" s="10" t="str">
        <f t="shared" si="0"/>
        <v>OK</v>
      </c>
      <c r="K21" s="11"/>
    </row>
    <row r="22" spans="1:11" ht="18" customHeight="1" x14ac:dyDescent="0.3">
      <c r="A22" s="12">
        <v>18</v>
      </c>
      <c r="B22" s="13"/>
      <c r="C22" s="13"/>
      <c r="D22" s="14"/>
      <c r="E22" s="14"/>
      <c r="F22" s="14"/>
      <c r="G22" s="14"/>
      <c r="H22" s="14"/>
      <c r="I22" s="15">
        <f>IFERROR(H22-G22,"-")</f>
        <v>0</v>
      </c>
      <c r="J22" s="16" t="str">
        <f t="shared" si="0"/>
        <v>OK</v>
      </c>
      <c r="K22" s="17"/>
    </row>
    <row r="23" spans="1:11" ht="18" customHeight="1" x14ac:dyDescent="0.3">
      <c r="A23" s="6">
        <v>19</v>
      </c>
      <c r="B23" s="7"/>
      <c r="C23" s="7"/>
      <c r="D23" s="8"/>
      <c r="E23" s="8"/>
      <c r="F23" s="8"/>
      <c r="G23" s="8"/>
      <c r="H23" s="8"/>
      <c r="I23" s="9">
        <f>IFERROR(H23-G23,"-")</f>
        <v>0</v>
      </c>
      <c r="J23" s="10" t="str">
        <f t="shared" si="0"/>
        <v>OK</v>
      </c>
      <c r="K23" s="11"/>
    </row>
    <row r="24" spans="1:11" ht="18" customHeight="1" x14ac:dyDescent="0.3">
      <c r="A24" s="12">
        <v>20</v>
      </c>
      <c r="B24" s="13"/>
      <c r="C24" s="13"/>
      <c r="D24" s="14"/>
      <c r="E24" s="14"/>
      <c r="F24" s="14"/>
      <c r="G24" s="14"/>
      <c r="H24" s="14"/>
      <c r="I24" s="15">
        <f>IFERROR(H24-G24,"-")</f>
        <v>0</v>
      </c>
      <c r="J24" s="16" t="str">
        <f t="shared" si="0"/>
        <v>OK</v>
      </c>
      <c r="K24" s="17"/>
    </row>
    <row r="25" spans="1:11" ht="18" customHeight="1" x14ac:dyDescent="0.3">
      <c r="A25" s="6">
        <v>21</v>
      </c>
      <c r="B25" s="7"/>
      <c r="C25" s="7"/>
      <c r="D25" s="8"/>
      <c r="E25" s="8"/>
      <c r="F25" s="8"/>
      <c r="G25" s="8"/>
      <c r="H25" s="8"/>
      <c r="I25" s="9">
        <f>IFERROR(H25-G25,"-")</f>
        <v>0</v>
      </c>
      <c r="J25" s="10" t="str">
        <f t="shared" si="0"/>
        <v>OK</v>
      </c>
      <c r="K25" s="11"/>
    </row>
    <row r="26" spans="1:11" ht="18" customHeight="1" x14ac:dyDescent="0.3">
      <c r="A26" s="12">
        <v>22</v>
      </c>
      <c r="B26" s="13"/>
      <c r="C26" s="13"/>
      <c r="D26" s="14"/>
      <c r="E26" s="14"/>
      <c r="F26" s="14"/>
      <c r="G26" s="14"/>
      <c r="H26" s="14"/>
      <c r="I26" s="15">
        <f>IFERROR(H26-G26,"-")</f>
        <v>0</v>
      </c>
      <c r="J26" s="16" t="str">
        <f t="shared" si="0"/>
        <v>OK</v>
      </c>
      <c r="K26" s="17"/>
    </row>
    <row r="27" spans="1:11" ht="18" customHeight="1" x14ac:dyDescent="0.3">
      <c r="A27" s="6">
        <v>23</v>
      </c>
      <c r="B27" s="7"/>
      <c r="C27" s="7"/>
      <c r="D27" s="8"/>
      <c r="E27" s="8"/>
      <c r="F27" s="8"/>
      <c r="G27" s="8"/>
      <c r="H27" s="8"/>
      <c r="I27" s="9">
        <f>IFERROR(H27-G27,"-")</f>
        <v>0</v>
      </c>
      <c r="J27" s="10" t="str">
        <f t="shared" si="0"/>
        <v>OK</v>
      </c>
      <c r="K27" s="11"/>
    </row>
    <row r="28" spans="1:11" ht="18" customHeight="1" x14ac:dyDescent="0.3">
      <c r="A28" s="12">
        <v>24</v>
      </c>
      <c r="B28" s="13"/>
      <c r="C28" s="13"/>
      <c r="D28" s="14"/>
      <c r="E28" s="14"/>
      <c r="F28" s="14"/>
      <c r="G28" s="14"/>
      <c r="H28" s="14"/>
      <c r="I28" s="15">
        <f>IFERROR(H28-G28,"-")</f>
        <v>0</v>
      </c>
      <c r="J28" s="16" t="str">
        <f t="shared" si="0"/>
        <v>OK</v>
      </c>
      <c r="K28" s="17"/>
    </row>
    <row r="29" spans="1:11" ht="18" customHeight="1" x14ac:dyDescent="0.3">
      <c r="A29" s="6">
        <v>25</v>
      </c>
      <c r="B29" s="7"/>
      <c r="C29" s="7"/>
      <c r="D29" s="8"/>
      <c r="E29" s="8"/>
      <c r="F29" s="8"/>
      <c r="G29" s="8"/>
      <c r="H29" s="8"/>
      <c r="I29" s="9">
        <f>IFERROR(H29-G29,"-")</f>
        <v>0</v>
      </c>
      <c r="J29" s="10" t="str">
        <f t="shared" si="0"/>
        <v>OK</v>
      </c>
      <c r="K29" s="11"/>
    </row>
    <row r="30" spans="1:11" ht="18" customHeight="1" x14ac:dyDescent="0.3">
      <c r="A30" s="12">
        <v>26</v>
      </c>
      <c r="B30" s="13"/>
      <c r="C30" s="13"/>
      <c r="D30" s="14"/>
      <c r="E30" s="14"/>
      <c r="F30" s="14"/>
      <c r="G30" s="14"/>
      <c r="H30" s="14"/>
      <c r="I30" s="15">
        <f>IFERROR(H30-G30,"-")</f>
        <v>0</v>
      </c>
      <c r="J30" s="16" t="str">
        <f t="shared" si="0"/>
        <v>OK</v>
      </c>
      <c r="K30" s="17"/>
    </row>
    <row r="31" spans="1:11" ht="18" customHeight="1" x14ac:dyDescent="0.3">
      <c r="A31" s="6">
        <v>27</v>
      </c>
      <c r="B31" s="7"/>
      <c r="C31" s="7"/>
      <c r="D31" s="8"/>
      <c r="E31" s="8"/>
      <c r="F31" s="8"/>
      <c r="G31" s="8"/>
      <c r="H31" s="8"/>
      <c r="I31" s="9">
        <f>IFERROR(H31-G31,"-")</f>
        <v>0</v>
      </c>
      <c r="J31" s="10" t="str">
        <f t="shared" si="0"/>
        <v>OK</v>
      </c>
      <c r="K31" s="11"/>
    </row>
    <row r="32" spans="1:11" ht="18" customHeight="1" x14ac:dyDescent="0.3">
      <c r="A32" s="12">
        <v>28</v>
      </c>
      <c r="B32" s="13"/>
      <c r="C32" s="13"/>
      <c r="D32" s="14"/>
      <c r="E32" s="14"/>
      <c r="F32" s="14"/>
      <c r="G32" s="14"/>
      <c r="H32" s="14"/>
      <c r="I32" s="15">
        <f>IFERROR(H32-G32,"-")</f>
        <v>0</v>
      </c>
      <c r="J32" s="16" t="str">
        <f t="shared" si="0"/>
        <v>OK</v>
      </c>
      <c r="K32" s="17"/>
    </row>
    <row r="33" spans="1:11" ht="18" customHeight="1" x14ac:dyDescent="0.3">
      <c r="A33" s="6">
        <v>29</v>
      </c>
      <c r="B33" s="7"/>
      <c r="C33" s="7"/>
      <c r="D33" s="8"/>
      <c r="E33" s="8"/>
      <c r="F33" s="8"/>
      <c r="G33" s="8"/>
      <c r="H33" s="8"/>
      <c r="I33" s="9">
        <f>IFERROR(H33-G33,"-")</f>
        <v>0</v>
      </c>
      <c r="J33" s="10" t="str">
        <f t="shared" si="0"/>
        <v>OK</v>
      </c>
      <c r="K33" s="11"/>
    </row>
    <row r="34" spans="1:11" ht="18" customHeight="1" x14ac:dyDescent="0.3">
      <c r="A34" s="12">
        <v>30</v>
      </c>
      <c r="B34" s="13"/>
      <c r="C34" s="13"/>
      <c r="D34" s="14"/>
      <c r="E34" s="14"/>
      <c r="F34" s="14"/>
      <c r="G34" s="14"/>
      <c r="H34" s="14"/>
      <c r="I34" s="15">
        <f>IFERROR(H34-G34,"-")</f>
        <v>0</v>
      </c>
      <c r="J34" s="16" t="str">
        <f t="shared" si="0"/>
        <v>OK</v>
      </c>
      <c r="K34" s="17"/>
    </row>
    <row r="35" spans="1:11" ht="18" customHeight="1" x14ac:dyDescent="0.3">
      <c r="A35" s="6">
        <v>31</v>
      </c>
      <c r="B35" s="7"/>
      <c r="C35" s="7"/>
      <c r="D35" s="8"/>
      <c r="E35" s="8"/>
      <c r="F35" s="8"/>
      <c r="G35" s="8"/>
      <c r="H35" s="8"/>
      <c r="I35" s="9">
        <f>IFERROR(H35-G35,"-")</f>
        <v>0</v>
      </c>
      <c r="J35" s="10" t="str">
        <f t="shared" si="0"/>
        <v>OK</v>
      </c>
      <c r="K35" s="11"/>
    </row>
    <row r="36" spans="1:11" ht="18" customHeight="1" x14ac:dyDescent="0.3">
      <c r="A36" s="12">
        <v>32</v>
      </c>
      <c r="B36" s="13"/>
      <c r="C36" s="13"/>
      <c r="D36" s="14"/>
      <c r="E36" s="14"/>
      <c r="F36" s="14"/>
      <c r="G36" s="14"/>
      <c r="H36" s="14"/>
      <c r="I36" s="15">
        <f>IFERROR(H36-G36,"-")</f>
        <v>0</v>
      </c>
      <c r="J36" s="16" t="str">
        <f t="shared" si="0"/>
        <v>OK</v>
      </c>
      <c r="K36" s="17"/>
    </row>
    <row r="37" spans="1:11" ht="18" customHeight="1" x14ac:dyDescent="0.3">
      <c r="A37" s="6">
        <v>33</v>
      </c>
      <c r="B37" s="7"/>
      <c r="C37" s="7"/>
      <c r="D37" s="8"/>
      <c r="E37" s="8"/>
      <c r="F37" s="8"/>
      <c r="G37" s="8"/>
      <c r="H37" s="8"/>
      <c r="I37" s="9">
        <f>IFERROR(H37-G37,"-")</f>
        <v>0</v>
      </c>
      <c r="J37" s="10" t="str">
        <f t="shared" ref="J37:J54" si="1">IF(OR(I37="-",I37=""),"",IF(I37=0,"OK",IF(I37&gt;0,"Surplus","Kurang")))</f>
        <v>OK</v>
      </c>
      <c r="K37" s="11"/>
    </row>
    <row r="38" spans="1:11" ht="18" customHeight="1" x14ac:dyDescent="0.3">
      <c r="A38" s="12">
        <v>34</v>
      </c>
      <c r="B38" s="13"/>
      <c r="C38" s="13"/>
      <c r="D38" s="14"/>
      <c r="E38" s="14"/>
      <c r="F38" s="14"/>
      <c r="G38" s="14"/>
      <c r="H38" s="14"/>
      <c r="I38" s="15">
        <f>IFERROR(H38-G38,"-")</f>
        <v>0</v>
      </c>
      <c r="J38" s="16" t="str">
        <f t="shared" si="1"/>
        <v>OK</v>
      </c>
      <c r="K38" s="17"/>
    </row>
    <row r="39" spans="1:11" ht="18" customHeight="1" x14ac:dyDescent="0.3">
      <c r="A39" s="6">
        <v>35</v>
      </c>
      <c r="B39" s="7"/>
      <c r="C39" s="7"/>
      <c r="D39" s="8"/>
      <c r="E39" s="8"/>
      <c r="F39" s="8"/>
      <c r="G39" s="8"/>
      <c r="H39" s="8"/>
      <c r="I39" s="9">
        <f>IFERROR(H39-G39,"-")</f>
        <v>0</v>
      </c>
      <c r="J39" s="10" t="str">
        <f t="shared" si="1"/>
        <v>OK</v>
      </c>
      <c r="K39" s="11"/>
    </row>
    <row r="40" spans="1:11" ht="18" customHeight="1" x14ac:dyDescent="0.3">
      <c r="A40" s="12">
        <v>36</v>
      </c>
      <c r="B40" s="13"/>
      <c r="C40" s="13"/>
      <c r="D40" s="14"/>
      <c r="E40" s="14"/>
      <c r="F40" s="14"/>
      <c r="G40" s="14"/>
      <c r="H40" s="14"/>
      <c r="I40" s="15">
        <f>IFERROR(H40-G40,"-")</f>
        <v>0</v>
      </c>
      <c r="J40" s="16" t="str">
        <f t="shared" si="1"/>
        <v>OK</v>
      </c>
      <c r="K40" s="17"/>
    </row>
    <row r="41" spans="1:11" ht="18" customHeight="1" x14ac:dyDescent="0.3">
      <c r="A41" s="6">
        <v>37</v>
      </c>
      <c r="B41" s="7"/>
      <c r="C41" s="7"/>
      <c r="D41" s="8"/>
      <c r="E41" s="8"/>
      <c r="F41" s="8"/>
      <c r="G41" s="8"/>
      <c r="H41" s="8"/>
      <c r="I41" s="9">
        <f>IFERROR(H41-G41,"-")</f>
        <v>0</v>
      </c>
      <c r="J41" s="10" t="str">
        <f t="shared" si="1"/>
        <v>OK</v>
      </c>
      <c r="K41" s="11"/>
    </row>
    <row r="42" spans="1:11" ht="18" customHeight="1" x14ac:dyDescent="0.3">
      <c r="A42" s="12">
        <v>38</v>
      </c>
      <c r="B42" s="13"/>
      <c r="C42" s="13"/>
      <c r="D42" s="14"/>
      <c r="E42" s="14"/>
      <c r="F42" s="14"/>
      <c r="G42" s="14"/>
      <c r="H42" s="14"/>
      <c r="I42" s="15">
        <f>IFERROR(H42-G42,"-")</f>
        <v>0</v>
      </c>
      <c r="J42" s="16" t="str">
        <f t="shared" si="1"/>
        <v>OK</v>
      </c>
      <c r="K42" s="17"/>
    </row>
    <row r="43" spans="1:11" ht="18" customHeight="1" x14ac:dyDescent="0.3">
      <c r="A43" s="6">
        <v>39</v>
      </c>
      <c r="B43" s="7"/>
      <c r="C43" s="7"/>
      <c r="D43" s="8"/>
      <c r="E43" s="8"/>
      <c r="F43" s="8"/>
      <c r="G43" s="8"/>
      <c r="H43" s="8"/>
      <c r="I43" s="9">
        <f>IFERROR(H43-G43,"-")</f>
        <v>0</v>
      </c>
      <c r="J43" s="10" t="str">
        <f t="shared" si="1"/>
        <v>OK</v>
      </c>
      <c r="K43" s="11"/>
    </row>
    <row r="44" spans="1:11" ht="18" customHeight="1" x14ac:dyDescent="0.3">
      <c r="A44" s="12">
        <v>40</v>
      </c>
      <c r="B44" s="13"/>
      <c r="C44" s="13"/>
      <c r="D44" s="14"/>
      <c r="E44" s="14"/>
      <c r="F44" s="14"/>
      <c r="G44" s="14"/>
      <c r="H44" s="14"/>
      <c r="I44" s="15">
        <f>IFERROR(H44-G44,"-")</f>
        <v>0</v>
      </c>
      <c r="J44" s="16" t="str">
        <f t="shared" si="1"/>
        <v>OK</v>
      </c>
      <c r="K44" s="17"/>
    </row>
    <row r="45" spans="1:11" ht="18" customHeight="1" x14ac:dyDescent="0.3">
      <c r="A45" s="6">
        <v>41</v>
      </c>
      <c r="B45" s="7"/>
      <c r="C45" s="7"/>
      <c r="D45" s="8"/>
      <c r="E45" s="8"/>
      <c r="F45" s="8"/>
      <c r="G45" s="8"/>
      <c r="H45" s="8"/>
      <c r="I45" s="9">
        <f>IFERROR(H45-G45,"-")</f>
        <v>0</v>
      </c>
      <c r="J45" s="10" t="str">
        <f t="shared" si="1"/>
        <v>OK</v>
      </c>
      <c r="K45" s="11"/>
    </row>
    <row r="46" spans="1:11" ht="18" customHeight="1" x14ac:dyDescent="0.3">
      <c r="A46" s="12">
        <v>42</v>
      </c>
      <c r="B46" s="13"/>
      <c r="C46" s="13"/>
      <c r="D46" s="14"/>
      <c r="E46" s="14"/>
      <c r="F46" s="14"/>
      <c r="G46" s="14"/>
      <c r="H46" s="14"/>
      <c r="I46" s="15">
        <f>IFERROR(H46-G46,"-")</f>
        <v>0</v>
      </c>
      <c r="J46" s="16" t="str">
        <f t="shared" si="1"/>
        <v>OK</v>
      </c>
      <c r="K46" s="17"/>
    </row>
    <row r="47" spans="1:11" ht="18" customHeight="1" x14ac:dyDescent="0.3">
      <c r="A47" s="6">
        <v>43</v>
      </c>
      <c r="B47" s="7"/>
      <c r="C47" s="7"/>
      <c r="D47" s="8"/>
      <c r="E47" s="8"/>
      <c r="F47" s="8"/>
      <c r="G47" s="8"/>
      <c r="H47" s="8"/>
      <c r="I47" s="9">
        <f>IFERROR(H47-G47,"-")</f>
        <v>0</v>
      </c>
      <c r="J47" s="10" t="str">
        <f t="shared" si="1"/>
        <v>OK</v>
      </c>
      <c r="K47" s="11"/>
    </row>
    <row r="48" spans="1:11" ht="18" customHeight="1" x14ac:dyDescent="0.3">
      <c r="A48" s="12">
        <v>44</v>
      </c>
      <c r="B48" s="13"/>
      <c r="C48" s="13"/>
      <c r="D48" s="14"/>
      <c r="E48" s="14"/>
      <c r="F48" s="14"/>
      <c r="G48" s="14"/>
      <c r="H48" s="14"/>
      <c r="I48" s="15">
        <f>IFERROR(H48-G48,"-")</f>
        <v>0</v>
      </c>
      <c r="J48" s="16" t="str">
        <f t="shared" si="1"/>
        <v>OK</v>
      </c>
      <c r="K48" s="17"/>
    </row>
    <row r="49" spans="1:11" ht="18" customHeight="1" x14ac:dyDescent="0.3">
      <c r="A49" s="6">
        <v>45</v>
      </c>
      <c r="B49" s="7"/>
      <c r="C49" s="7"/>
      <c r="D49" s="8"/>
      <c r="E49" s="8"/>
      <c r="F49" s="8"/>
      <c r="G49" s="8"/>
      <c r="H49" s="8"/>
      <c r="I49" s="9">
        <f>IFERROR(H49-G49,"-")</f>
        <v>0</v>
      </c>
      <c r="J49" s="10" t="str">
        <f t="shared" si="1"/>
        <v>OK</v>
      </c>
      <c r="K49" s="11"/>
    </row>
    <row r="50" spans="1:11" ht="18" customHeight="1" x14ac:dyDescent="0.3">
      <c r="A50" s="12">
        <v>46</v>
      </c>
      <c r="B50" s="13"/>
      <c r="C50" s="13"/>
      <c r="D50" s="14"/>
      <c r="E50" s="14"/>
      <c r="F50" s="14"/>
      <c r="G50" s="14"/>
      <c r="H50" s="14"/>
      <c r="I50" s="15">
        <f>IFERROR(H50-G50,"-")</f>
        <v>0</v>
      </c>
      <c r="J50" s="16" t="str">
        <f t="shared" si="1"/>
        <v>OK</v>
      </c>
      <c r="K50" s="17"/>
    </row>
    <row r="51" spans="1:11" ht="18" customHeight="1" x14ac:dyDescent="0.3">
      <c r="A51" s="6">
        <v>47</v>
      </c>
      <c r="B51" s="7"/>
      <c r="C51" s="7"/>
      <c r="D51" s="8"/>
      <c r="E51" s="8"/>
      <c r="F51" s="8"/>
      <c r="G51" s="8"/>
      <c r="H51" s="8"/>
      <c r="I51" s="9">
        <f>IFERROR(H51-G51,"-")</f>
        <v>0</v>
      </c>
      <c r="J51" s="10" t="str">
        <f t="shared" si="1"/>
        <v>OK</v>
      </c>
      <c r="K51" s="11"/>
    </row>
    <row r="52" spans="1:11" ht="18" customHeight="1" x14ac:dyDescent="0.3">
      <c r="A52" s="12">
        <v>48</v>
      </c>
      <c r="B52" s="13"/>
      <c r="C52" s="13"/>
      <c r="D52" s="14"/>
      <c r="E52" s="14"/>
      <c r="F52" s="14"/>
      <c r="G52" s="14"/>
      <c r="H52" s="14"/>
      <c r="I52" s="15">
        <f>IFERROR(H52-G52,"-")</f>
        <v>0</v>
      </c>
      <c r="J52" s="16" t="str">
        <f t="shared" si="1"/>
        <v>OK</v>
      </c>
      <c r="K52" s="17"/>
    </row>
    <row r="53" spans="1:11" ht="18" customHeight="1" x14ac:dyDescent="0.3">
      <c r="A53" s="6">
        <v>49</v>
      </c>
      <c r="B53" s="7"/>
      <c r="C53" s="7"/>
      <c r="D53" s="8"/>
      <c r="E53" s="8"/>
      <c r="F53" s="8"/>
      <c r="G53" s="8"/>
      <c r="H53" s="8"/>
      <c r="I53" s="9">
        <f>IFERROR(H53-G53,"-")</f>
        <v>0</v>
      </c>
      <c r="J53" s="10" t="str">
        <f t="shared" si="1"/>
        <v>OK</v>
      </c>
      <c r="K53" s="11"/>
    </row>
    <row r="54" spans="1:11" ht="18" customHeight="1" x14ac:dyDescent="0.3">
      <c r="A54" s="12">
        <v>50</v>
      </c>
      <c r="B54" s="13"/>
      <c r="C54" s="13"/>
      <c r="D54" s="14"/>
      <c r="E54" s="14"/>
      <c r="F54" s="14"/>
      <c r="G54" s="14"/>
      <c r="H54" s="14"/>
      <c r="I54" s="15">
        <f>IFERROR(H54-G54,"-")</f>
        <v>0</v>
      </c>
      <c r="J54" s="16" t="str">
        <f t="shared" si="1"/>
        <v>OK</v>
      </c>
      <c r="K54" s="17"/>
    </row>
    <row r="55" spans="1:11" x14ac:dyDescent="0.3">
      <c r="A55" s="6">
        <v>51</v>
      </c>
      <c r="B55" s="7"/>
      <c r="C55" s="7"/>
      <c r="D55" s="8"/>
      <c r="E55" s="8"/>
      <c r="F55" s="8"/>
      <c r="G55" s="8"/>
      <c r="H55" s="8"/>
      <c r="I55" s="9">
        <f t="shared" ref="I55:I118" si="2">IFERROR(H55-G55,"-")</f>
        <v>0</v>
      </c>
      <c r="J55" s="10" t="str">
        <f t="shared" ref="J55:J118" si="3">IF(OR(I55="-",I55=""),"",IF(I55=0,"OK",IF(I55&gt;0,"Surplus","Kurang")))</f>
        <v>OK</v>
      </c>
      <c r="K55" s="11"/>
    </row>
    <row r="56" spans="1:11" x14ac:dyDescent="0.3">
      <c r="A56" s="12">
        <v>52</v>
      </c>
      <c r="B56" s="13"/>
      <c r="C56" s="13"/>
      <c r="D56" s="14"/>
      <c r="E56" s="14"/>
      <c r="F56" s="14"/>
      <c r="G56" s="14"/>
      <c r="H56" s="14"/>
      <c r="I56" s="15">
        <f t="shared" si="2"/>
        <v>0</v>
      </c>
      <c r="J56" s="16" t="str">
        <f t="shared" si="3"/>
        <v>OK</v>
      </c>
      <c r="K56" s="17"/>
    </row>
    <row r="57" spans="1:11" x14ac:dyDescent="0.3">
      <c r="A57" s="6">
        <v>53</v>
      </c>
      <c r="B57" s="7"/>
      <c r="C57" s="7"/>
      <c r="D57" s="8"/>
      <c r="E57" s="8"/>
      <c r="F57" s="8"/>
      <c r="G57" s="8"/>
      <c r="H57" s="8"/>
      <c r="I57" s="9">
        <f t="shared" si="2"/>
        <v>0</v>
      </c>
      <c r="J57" s="10" t="str">
        <f t="shared" si="3"/>
        <v>OK</v>
      </c>
      <c r="K57" s="11"/>
    </row>
    <row r="58" spans="1:11" x14ac:dyDescent="0.3">
      <c r="A58" s="12">
        <v>54</v>
      </c>
      <c r="B58" s="13"/>
      <c r="C58" s="13"/>
      <c r="D58" s="14"/>
      <c r="E58" s="14"/>
      <c r="F58" s="14"/>
      <c r="G58" s="14"/>
      <c r="H58" s="14"/>
      <c r="I58" s="15">
        <f t="shared" si="2"/>
        <v>0</v>
      </c>
      <c r="J58" s="16" t="str">
        <f t="shared" si="3"/>
        <v>OK</v>
      </c>
      <c r="K58" s="17"/>
    </row>
    <row r="59" spans="1:11" x14ac:dyDescent="0.3">
      <c r="A59" s="6">
        <v>55</v>
      </c>
      <c r="B59" s="7"/>
      <c r="C59" s="7"/>
      <c r="D59" s="8"/>
      <c r="E59" s="8"/>
      <c r="F59" s="8"/>
      <c r="G59" s="8"/>
      <c r="H59" s="8"/>
      <c r="I59" s="9">
        <f t="shared" si="2"/>
        <v>0</v>
      </c>
      <c r="J59" s="10" t="str">
        <f t="shared" si="3"/>
        <v>OK</v>
      </c>
      <c r="K59" s="11"/>
    </row>
    <row r="60" spans="1:11" x14ac:dyDescent="0.3">
      <c r="A60" s="12">
        <v>56</v>
      </c>
      <c r="B60" s="13"/>
      <c r="C60" s="13"/>
      <c r="D60" s="14"/>
      <c r="E60" s="14"/>
      <c r="F60" s="14"/>
      <c r="G60" s="14"/>
      <c r="H60" s="14"/>
      <c r="I60" s="15">
        <f t="shared" si="2"/>
        <v>0</v>
      </c>
      <c r="J60" s="16" t="str">
        <f t="shared" si="3"/>
        <v>OK</v>
      </c>
      <c r="K60" s="17"/>
    </row>
    <row r="61" spans="1:11" x14ac:dyDescent="0.3">
      <c r="A61" s="6">
        <v>57</v>
      </c>
      <c r="B61" s="7"/>
      <c r="C61" s="7"/>
      <c r="D61" s="8"/>
      <c r="E61" s="8"/>
      <c r="F61" s="8"/>
      <c r="G61" s="8"/>
      <c r="H61" s="8"/>
      <c r="I61" s="9">
        <f t="shared" si="2"/>
        <v>0</v>
      </c>
      <c r="J61" s="10" t="str">
        <f t="shared" si="3"/>
        <v>OK</v>
      </c>
      <c r="K61" s="11"/>
    </row>
    <row r="62" spans="1:11" x14ac:dyDescent="0.3">
      <c r="A62" s="12">
        <v>58</v>
      </c>
      <c r="B62" s="13"/>
      <c r="C62" s="13"/>
      <c r="D62" s="14"/>
      <c r="E62" s="14"/>
      <c r="F62" s="14"/>
      <c r="G62" s="14"/>
      <c r="H62" s="14"/>
      <c r="I62" s="15">
        <f t="shared" si="2"/>
        <v>0</v>
      </c>
      <c r="J62" s="16" t="str">
        <f t="shared" si="3"/>
        <v>OK</v>
      </c>
      <c r="K62" s="17"/>
    </row>
    <row r="63" spans="1:11" x14ac:dyDescent="0.3">
      <c r="A63" s="6">
        <v>59</v>
      </c>
      <c r="B63" s="7"/>
      <c r="C63" s="7"/>
      <c r="D63" s="8"/>
      <c r="E63" s="8"/>
      <c r="F63" s="8"/>
      <c r="G63" s="8"/>
      <c r="H63" s="8"/>
      <c r="I63" s="9">
        <f t="shared" si="2"/>
        <v>0</v>
      </c>
      <c r="J63" s="10" t="str">
        <f t="shared" si="3"/>
        <v>OK</v>
      </c>
      <c r="K63" s="11"/>
    </row>
    <row r="64" spans="1:11" x14ac:dyDescent="0.3">
      <c r="A64" s="12">
        <v>60</v>
      </c>
      <c r="B64" s="13"/>
      <c r="C64" s="13"/>
      <c r="D64" s="14"/>
      <c r="E64" s="14"/>
      <c r="F64" s="14"/>
      <c r="G64" s="14"/>
      <c r="H64" s="14"/>
      <c r="I64" s="15">
        <f t="shared" si="2"/>
        <v>0</v>
      </c>
      <c r="J64" s="16" t="str">
        <f t="shared" si="3"/>
        <v>OK</v>
      </c>
      <c r="K64" s="17"/>
    </row>
    <row r="65" spans="1:11" x14ac:dyDescent="0.3">
      <c r="A65" s="6">
        <v>61</v>
      </c>
      <c r="B65" s="7"/>
      <c r="C65" s="7"/>
      <c r="D65" s="8"/>
      <c r="E65" s="8"/>
      <c r="F65" s="8"/>
      <c r="G65" s="8"/>
      <c r="H65" s="8"/>
      <c r="I65" s="9">
        <f t="shared" si="2"/>
        <v>0</v>
      </c>
      <c r="J65" s="10" t="str">
        <f t="shared" si="3"/>
        <v>OK</v>
      </c>
      <c r="K65" s="11"/>
    </row>
    <row r="66" spans="1:11" x14ac:dyDescent="0.3">
      <c r="A66" s="12">
        <v>62</v>
      </c>
      <c r="B66" s="13"/>
      <c r="C66" s="13"/>
      <c r="D66" s="14"/>
      <c r="E66" s="14"/>
      <c r="F66" s="14"/>
      <c r="G66" s="14"/>
      <c r="H66" s="14"/>
      <c r="I66" s="15">
        <f t="shared" si="2"/>
        <v>0</v>
      </c>
      <c r="J66" s="16" t="str">
        <f t="shared" si="3"/>
        <v>OK</v>
      </c>
      <c r="K66" s="17"/>
    </row>
    <row r="67" spans="1:11" x14ac:dyDescent="0.3">
      <c r="A67" s="6">
        <v>63</v>
      </c>
      <c r="B67" s="7"/>
      <c r="C67" s="7"/>
      <c r="D67" s="8"/>
      <c r="E67" s="8"/>
      <c r="F67" s="8"/>
      <c r="G67" s="8"/>
      <c r="H67" s="8"/>
      <c r="I67" s="9">
        <f t="shared" si="2"/>
        <v>0</v>
      </c>
      <c r="J67" s="10" t="str">
        <f t="shared" si="3"/>
        <v>OK</v>
      </c>
      <c r="K67" s="11"/>
    </row>
    <row r="68" spans="1:11" x14ac:dyDescent="0.3">
      <c r="A68" s="12">
        <v>64</v>
      </c>
      <c r="B68" s="13"/>
      <c r="C68" s="13"/>
      <c r="D68" s="14"/>
      <c r="E68" s="14"/>
      <c r="F68" s="14"/>
      <c r="G68" s="14"/>
      <c r="H68" s="14"/>
      <c r="I68" s="15">
        <f t="shared" si="2"/>
        <v>0</v>
      </c>
      <c r="J68" s="16" t="str">
        <f t="shared" si="3"/>
        <v>OK</v>
      </c>
      <c r="K68" s="17"/>
    </row>
    <row r="69" spans="1:11" x14ac:dyDescent="0.3">
      <c r="A69" s="6">
        <v>65</v>
      </c>
      <c r="B69" s="7"/>
      <c r="C69" s="7"/>
      <c r="D69" s="8"/>
      <c r="E69" s="8"/>
      <c r="F69" s="8"/>
      <c r="G69" s="8"/>
      <c r="H69" s="8"/>
      <c r="I69" s="9">
        <f t="shared" si="2"/>
        <v>0</v>
      </c>
      <c r="J69" s="10" t="str">
        <f t="shared" si="3"/>
        <v>OK</v>
      </c>
      <c r="K69" s="11"/>
    </row>
    <row r="70" spans="1:11" x14ac:dyDescent="0.3">
      <c r="A70" s="12">
        <v>66</v>
      </c>
      <c r="B70" s="13"/>
      <c r="C70" s="13"/>
      <c r="D70" s="14"/>
      <c r="E70" s="14"/>
      <c r="F70" s="14"/>
      <c r="G70" s="14"/>
      <c r="H70" s="14"/>
      <c r="I70" s="15">
        <f t="shared" si="2"/>
        <v>0</v>
      </c>
      <c r="J70" s="16" t="str">
        <f t="shared" si="3"/>
        <v>OK</v>
      </c>
      <c r="K70" s="17"/>
    </row>
    <row r="71" spans="1:11" x14ac:dyDescent="0.3">
      <c r="A71" s="6">
        <v>67</v>
      </c>
      <c r="B71" s="7"/>
      <c r="C71" s="7"/>
      <c r="D71" s="8"/>
      <c r="E71" s="8"/>
      <c r="F71" s="8"/>
      <c r="G71" s="8"/>
      <c r="H71" s="8"/>
      <c r="I71" s="9">
        <f t="shared" si="2"/>
        <v>0</v>
      </c>
      <c r="J71" s="10" t="str">
        <f t="shared" si="3"/>
        <v>OK</v>
      </c>
      <c r="K71" s="11"/>
    </row>
    <row r="72" spans="1:11" x14ac:dyDescent="0.3">
      <c r="A72" s="12">
        <v>68</v>
      </c>
      <c r="B72" s="13"/>
      <c r="C72" s="13"/>
      <c r="D72" s="14"/>
      <c r="E72" s="14"/>
      <c r="F72" s="14"/>
      <c r="G72" s="14"/>
      <c r="H72" s="14"/>
      <c r="I72" s="15">
        <f t="shared" si="2"/>
        <v>0</v>
      </c>
      <c r="J72" s="16" t="str">
        <f t="shared" si="3"/>
        <v>OK</v>
      </c>
      <c r="K72" s="17"/>
    </row>
    <row r="73" spans="1:11" x14ac:dyDescent="0.3">
      <c r="A73" s="6">
        <v>69</v>
      </c>
      <c r="B73" s="7"/>
      <c r="C73" s="7"/>
      <c r="D73" s="8"/>
      <c r="E73" s="8"/>
      <c r="F73" s="8"/>
      <c r="G73" s="8"/>
      <c r="H73" s="8"/>
      <c r="I73" s="9">
        <f t="shared" si="2"/>
        <v>0</v>
      </c>
      <c r="J73" s="10" t="str">
        <f t="shared" si="3"/>
        <v>OK</v>
      </c>
      <c r="K73" s="11"/>
    </row>
    <row r="74" spans="1:11" x14ac:dyDescent="0.3">
      <c r="A74" s="12">
        <v>70</v>
      </c>
      <c r="B74" s="13"/>
      <c r="C74" s="13"/>
      <c r="D74" s="14"/>
      <c r="E74" s="14"/>
      <c r="F74" s="14"/>
      <c r="G74" s="14"/>
      <c r="H74" s="14"/>
      <c r="I74" s="15">
        <f t="shared" si="2"/>
        <v>0</v>
      </c>
      <c r="J74" s="16" t="str">
        <f t="shared" si="3"/>
        <v>OK</v>
      </c>
      <c r="K74" s="17"/>
    </row>
    <row r="75" spans="1:11" x14ac:dyDescent="0.3">
      <c r="A75" s="6">
        <v>71</v>
      </c>
      <c r="B75" s="7"/>
      <c r="C75" s="7"/>
      <c r="D75" s="8"/>
      <c r="E75" s="8"/>
      <c r="F75" s="8"/>
      <c r="G75" s="8"/>
      <c r="H75" s="8"/>
      <c r="I75" s="9">
        <f t="shared" si="2"/>
        <v>0</v>
      </c>
      <c r="J75" s="10" t="str">
        <f t="shared" si="3"/>
        <v>OK</v>
      </c>
      <c r="K75" s="11"/>
    </row>
    <row r="76" spans="1:11" x14ac:dyDescent="0.3">
      <c r="A76" s="12">
        <v>72</v>
      </c>
      <c r="B76" s="13"/>
      <c r="C76" s="13"/>
      <c r="D76" s="14"/>
      <c r="E76" s="14"/>
      <c r="F76" s="14"/>
      <c r="G76" s="14"/>
      <c r="H76" s="14"/>
      <c r="I76" s="15">
        <f t="shared" si="2"/>
        <v>0</v>
      </c>
      <c r="J76" s="16" t="str">
        <f t="shared" si="3"/>
        <v>OK</v>
      </c>
      <c r="K76" s="17"/>
    </row>
    <row r="77" spans="1:11" x14ac:dyDescent="0.3">
      <c r="A77" s="6">
        <v>73</v>
      </c>
      <c r="B77" s="7"/>
      <c r="C77" s="7"/>
      <c r="D77" s="8"/>
      <c r="E77" s="8"/>
      <c r="F77" s="8"/>
      <c r="G77" s="8"/>
      <c r="H77" s="8"/>
      <c r="I77" s="9">
        <f t="shared" si="2"/>
        <v>0</v>
      </c>
      <c r="J77" s="10" t="str">
        <f t="shared" si="3"/>
        <v>OK</v>
      </c>
      <c r="K77" s="11"/>
    </row>
    <row r="78" spans="1:11" x14ac:dyDescent="0.3">
      <c r="A78" s="12">
        <v>74</v>
      </c>
      <c r="B78" s="13"/>
      <c r="C78" s="13"/>
      <c r="D78" s="14"/>
      <c r="E78" s="14"/>
      <c r="F78" s="14"/>
      <c r="G78" s="14"/>
      <c r="H78" s="14"/>
      <c r="I78" s="15">
        <f t="shared" si="2"/>
        <v>0</v>
      </c>
      <c r="J78" s="16" t="str">
        <f t="shared" si="3"/>
        <v>OK</v>
      </c>
      <c r="K78" s="17"/>
    </row>
    <row r="79" spans="1:11" x14ac:dyDescent="0.3">
      <c r="A79" s="6">
        <v>75</v>
      </c>
      <c r="B79" s="7"/>
      <c r="C79" s="7"/>
      <c r="D79" s="8"/>
      <c r="E79" s="8"/>
      <c r="F79" s="8"/>
      <c r="G79" s="8"/>
      <c r="H79" s="8"/>
      <c r="I79" s="9">
        <f t="shared" si="2"/>
        <v>0</v>
      </c>
      <c r="J79" s="10" t="str">
        <f t="shared" si="3"/>
        <v>OK</v>
      </c>
      <c r="K79" s="11"/>
    </row>
    <row r="80" spans="1:11" x14ac:dyDescent="0.3">
      <c r="A80" s="12">
        <v>76</v>
      </c>
      <c r="B80" s="13"/>
      <c r="C80" s="13"/>
      <c r="D80" s="14"/>
      <c r="E80" s="14"/>
      <c r="F80" s="14"/>
      <c r="G80" s="14"/>
      <c r="H80" s="14"/>
      <c r="I80" s="15">
        <f t="shared" si="2"/>
        <v>0</v>
      </c>
      <c r="J80" s="16" t="str">
        <f t="shared" si="3"/>
        <v>OK</v>
      </c>
      <c r="K80" s="17"/>
    </row>
    <row r="81" spans="1:11" x14ac:dyDescent="0.3">
      <c r="A81" s="6">
        <v>77</v>
      </c>
      <c r="B81" s="7"/>
      <c r="C81" s="7"/>
      <c r="D81" s="8"/>
      <c r="E81" s="8"/>
      <c r="F81" s="8"/>
      <c r="G81" s="8"/>
      <c r="H81" s="8"/>
      <c r="I81" s="9">
        <f t="shared" si="2"/>
        <v>0</v>
      </c>
      <c r="J81" s="10" t="str">
        <f t="shared" si="3"/>
        <v>OK</v>
      </c>
      <c r="K81" s="11"/>
    </row>
    <row r="82" spans="1:11" x14ac:dyDescent="0.3">
      <c r="A82" s="12">
        <v>78</v>
      </c>
      <c r="B82" s="13"/>
      <c r="C82" s="13"/>
      <c r="D82" s="14"/>
      <c r="E82" s="14"/>
      <c r="F82" s="14"/>
      <c r="G82" s="14"/>
      <c r="H82" s="14"/>
      <c r="I82" s="15">
        <f t="shared" si="2"/>
        <v>0</v>
      </c>
      <c r="J82" s="16" t="str">
        <f t="shared" si="3"/>
        <v>OK</v>
      </c>
      <c r="K82" s="17"/>
    </row>
    <row r="83" spans="1:11" x14ac:dyDescent="0.3">
      <c r="A83" s="6">
        <v>79</v>
      </c>
      <c r="B83" s="7"/>
      <c r="C83" s="7"/>
      <c r="D83" s="8"/>
      <c r="E83" s="8"/>
      <c r="F83" s="8"/>
      <c r="G83" s="8"/>
      <c r="H83" s="8"/>
      <c r="I83" s="9">
        <f t="shared" si="2"/>
        <v>0</v>
      </c>
      <c r="J83" s="10" t="str">
        <f t="shared" si="3"/>
        <v>OK</v>
      </c>
      <c r="K83" s="11"/>
    </row>
    <row r="84" spans="1:11" x14ac:dyDescent="0.3">
      <c r="A84" s="12">
        <v>80</v>
      </c>
      <c r="B84" s="13"/>
      <c r="C84" s="13"/>
      <c r="D84" s="14"/>
      <c r="E84" s="14"/>
      <c r="F84" s="14"/>
      <c r="G84" s="14"/>
      <c r="H84" s="14"/>
      <c r="I84" s="15">
        <f t="shared" si="2"/>
        <v>0</v>
      </c>
      <c r="J84" s="16" t="str">
        <f t="shared" si="3"/>
        <v>OK</v>
      </c>
      <c r="K84" s="17"/>
    </row>
    <row r="85" spans="1:11" x14ac:dyDescent="0.3">
      <c r="A85" s="6">
        <v>81</v>
      </c>
      <c r="B85" s="7"/>
      <c r="C85" s="7"/>
      <c r="D85" s="8"/>
      <c r="E85" s="8"/>
      <c r="F85" s="8"/>
      <c r="G85" s="8"/>
      <c r="H85" s="8"/>
      <c r="I85" s="9">
        <f t="shared" si="2"/>
        <v>0</v>
      </c>
      <c r="J85" s="10" t="str">
        <f t="shared" si="3"/>
        <v>OK</v>
      </c>
      <c r="K85" s="11"/>
    </row>
    <row r="86" spans="1:11" x14ac:dyDescent="0.3">
      <c r="A86" s="12">
        <v>82</v>
      </c>
      <c r="B86" s="13"/>
      <c r="C86" s="13"/>
      <c r="D86" s="14"/>
      <c r="E86" s="14"/>
      <c r="F86" s="14"/>
      <c r="G86" s="14"/>
      <c r="H86" s="14"/>
      <c r="I86" s="15">
        <f t="shared" si="2"/>
        <v>0</v>
      </c>
      <c r="J86" s="16" t="str">
        <f t="shared" si="3"/>
        <v>OK</v>
      </c>
      <c r="K86" s="17"/>
    </row>
    <row r="87" spans="1:11" x14ac:dyDescent="0.3">
      <c r="A87" s="6">
        <v>83</v>
      </c>
      <c r="B87" s="7"/>
      <c r="C87" s="7"/>
      <c r="D87" s="8"/>
      <c r="E87" s="8"/>
      <c r="F87" s="8"/>
      <c r="G87" s="8"/>
      <c r="H87" s="8"/>
      <c r="I87" s="9">
        <f t="shared" si="2"/>
        <v>0</v>
      </c>
      <c r="J87" s="10" t="str">
        <f t="shared" si="3"/>
        <v>OK</v>
      </c>
      <c r="K87" s="11"/>
    </row>
    <row r="88" spans="1:11" x14ac:dyDescent="0.3">
      <c r="A88" s="12">
        <v>84</v>
      </c>
      <c r="B88" s="13"/>
      <c r="C88" s="13"/>
      <c r="D88" s="14"/>
      <c r="E88" s="14"/>
      <c r="F88" s="14"/>
      <c r="G88" s="14"/>
      <c r="H88" s="14"/>
      <c r="I88" s="15">
        <f t="shared" si="2"/>
        <v>0</v>
      </c>
      <c r="J88" s="16" t="str">
        <f t="shared" si="3"/>
        <v>OK</v>
      </c>
      <c r="K88" s="17"/>
    </row>
    <row r="89" spans="1:11" x14ac:dyDescent="0.3">
      <c r="A89" s="6">
        <v>85</v>
      </c>
      <c r="B89" s="7"/>
      <c r="C89" s="7"/>
      <c r="D89" s="8"/>
      <c r="E89" s="8"/>
      <c r="F89" s="8"/>
      <c r="G89" s="8"/>
      <c r="H89" s="8"/>
      <c r="I89" s="9">
        <f t="shared" si="2"/>
        <v>0</v>
      </c>
      <c r="J89" s="10" t="str">
        <f t="shared" si="3"/>
        <v>OK</v>
      </c>
      <c r="K89" s="11"/>
    </row>
    <row r="90" spans="1:11" x14ac:dyDescent="0.3">
      <c r="A90" s="12">
        <v>86</v>
      </c>
      <c r="B90" s="13"/>
      <c r="C90" s="13"/>
      <c r="D90" s="14"/>
      <c r="E90" s="14"/>
      <c r="F90" s="14"/>
      <c r="G90" s="14"/>
      <c r="H90" s="14"/>
      <c r="I90" s="15">
        <f t="shared" si="2"/>
        <v>0</v>
      </c>
      <c r="J90" s="16" t="str">
        <f t="shared" si="3"/>
        <v>OK</v>
      </c>
      <c r="K90" s="17"/>
    </row>
    <row r="91" spans="1:11" x14ac:dyDescent="0.3">
      <c r="A91" s="6">
        <v>87</v>
      </c>
      <c r="B91" s="7"/>
      <c r="C91" s="7"/>
      <c r="D91" s="8"/>
      <c r="E91" s="8"/>
      <c r="F91" s="8"/>
      <c r="G91" s="8"/>
      <c r="H91" s="8"/>
      <c r="I91" s="9">
        <f t="shared" si="2"/>
        <v>0</v>
      </c>
      <c r="J91" s="10" t="str">
        <f t="shared" si="3"/>
        <v>OK</v>
      </c>
      <c r="K91" s="11"/>
    </row>
    <row r="92" spans="1:11" x14ac:dyDescent="0.3">
      <c r="A92" s="12">
        <v>88</v>
      </c>
      <c r="B92" s="13"/>
      <c r="C92" s="13"/>
      <c r="D92" s="14"/>
      <c r="E92" s="14"/>
      <c r="F92" s="14"/>
      <c r="G92" s="14"/>
      <c r="H92" s="14"/>
      <c r="I92" s="15">
        <f t="shared" si="2"/>
        <v>0</v>
      </c>
      <c r="J92" s="16" t="str">
        <f t="shared" si="3"/>
        <v>OK</v>
      </c>
      <c r="K92" s="17"/>
    </row>
    <row r="93" spans="1:11" x14ac:dyDescent="0.3">
      <c r="A93" s="6">
        <v>89</v>
      </c>
      <c r="B93" s="7"/>
      <c r="C93" s="7"/>
      <c r="D93" s="8"/>
      <c r="E93" s="8"/>
      <c r="F93" s="8"/>
      <c r="G93" s="8"/>
      <c r="H93" s="8"/>
      <c r="I93" s="9">
        <f t="shared" si="2"/>
        <v>0</v>
      </c>
      <c r="J93" s="10" t="str">
        <f t="shared" si="3"/>
        <v>OK</v>
      </c>
      <c r="K93" s="11"/>
    </row>
    <row r="94" spans="1:11" x14ac:dyDescent="0.3">
      <c r="A94" s="12">
        <v>90</v>
      </c>
      <c r="B94" s="13"/>
      <c r="C94" s="13"/>
      <c r="D94" s="14"/>
      <c r="E94" s="14"/>
      <c r="F94" s="14"/>
      <c r="G94" s="14"/>
      <c r="H94" s="14"/>
      <c r="I94" s="15">
        <f t="shared" si="2"/>
        <v>0</v>
      </c>
      <c r="J94" s="16" t="str">
        <f t="shared" si="3"/>
        <v>OK</v>
      </c>
      <c r="K94" s="17"/>
    </row>
    <row r="95" spans="1:11" x14ac:dyDescent="0.3">
      <c r="A95" s="6">
        <v>91</v>
      </c>
      <c r="B95" s="7"/>
      <c r="C95" s="7"/>
      <c r="D95" s="8"/>
      <c r="E95" s="8"/>
      <c r="F95" s="8"/>
      <c r="G95" s="8"/>
      <c r="H95" s="8"/>
      <c r="I95" s="9">
        <f t="shared" si="2"/>
        <v>0</v>
      </c>
      <c r="J95" s="10" t="str">
        <f t="shared" si="3"/>
        <v>OK</v>
      </c>
      <c r="K95" s="11"/>
    </row>
    <row r="96" spans="1:11" x14ac:dyDescent="0.3">
      <c r="A96" s="12">
        <v>92</v>
      </c>
      <c r="B96" s="13"/>
      <c r="C96" s="13"/>
      <c r="D96" s="14"/>
      <c r="E96" s="14"/>
      <c r="F96" s="14"/>
      <c r="G96" s="14"/>
      <c r="H96" s="14"/>
      <c r="I96" s="15">
        <f t="shared" si="2"/>
        <v>0</v>
      </c>
      <c r="J96" s="16" t="str">
        <f t="shared" si="3"/>
        <v>OK</v>
      </c>
      <c r="K96" s="17"/>
    </row>
    <row r="97" spans="1:11" x14ac:dyDescent="0.3">
      <c r="A97" s="6">
        <v>93</v>
      </c>
      <c r="B97" s="7"/>
      <c r="C97" s="7"/>
      <c r="D97" s="8"/>
      <c r="E97" s="8"/>
      <c r="F97" s="8"/>
      <c r="G97" s="8"/>
      <c r="H97" s="8"/>
      <c r="I97" s="9">
        <f t="shared" si="2"/>
        <v>0</v>
      </c>
      <c r="J97" s="10" t="str">
        <f t="shared" si="3"/>
        <v>OK</v>
      </c>
      <c r="K97" s="11"/>
    </row>
    <row r="98" spans="1:11" x14ac:dyDescent="0.3">
      <c r="A98" s="12">
        <v>94</v>
      </c>
      <c r="B98" s="13"/>
      <c r="C98" s="13"/>
      <c r="D98" s="14"/>
      <c r="E98" s="14"/>
      <c r="F98" s="14"/>
      <c r="G98" s="14"/>
      <c r="H98" s="14"/>
      <c r="I98" s="15">
        <f t="shared" si="2"/>
        <v>0</v>
      </c>
      <c r="J98" s="16" t="str">
        <f t="shared" si="3"/>
        <v>OK</v>
      </c>
      <c r="K98" s="17"/>
    </row>
    <row r="99" spans="1:11" x14ac:dyDescent="0.3">
      <c r="A99" s="6">
        <v>95</v>
      </c>
      <c r="B99" s="7"/>
      <c r="C99" s="7"/>
      <c r="D99" s="8"/>
      <c r="E99" s="8"/>
      <c r="F99" s="8"/>
      <c r="G99" s="8"/>
      <c r="H99" s="8"/>
      <c r="I99" s="9">
        <f t="shared" si="2"/>
        <v>0</v>
      </c>
      <c r="J99" s="10" t="str">
        <f t="shared" si="3"/>
        <v>OK</v>
      </c>
      <c r="K99" s="11"/>
    </row>
    <row r="100" spans="1:11" x14ac:dyDescent="0.3">
      <c r="A100" s="12">
        <v>96</v>
      </c>
      <c r="B100" s="13"/>
      <c r="C100" s="13"/>
      <c r="D100" s="14"/>
      <c r="E100" s="14"/>
      <c r="F100" s="14"/>
      <c r="G100" s="14"/>
      <c r="H100" s="14"/>
      <c r="I100" s="15">
        <f t="shared" si="2"/>
        <v>0</v>
      </c>
      <c r="J100" s="16" t="str">
        <f t="shared" si="3"/>
        <v>OK</v>
      </c>
      <c r="K100" s="17"/>
    </row>
    <row r="101" spans="1:11" x14ac:dyDescent="0.3">
      <c r="A101" s="6">
        <v>97</v>
      </c>
      <c r="B101" s="7"/>
      <c r="C101" s="7"/>
      <c r="D101" s="8"/>
      <c r="E101" s="8"/>
      <c r="F101" s="8"/>
      <c r="G101" s="8"/>
      <c r="H101" s="8"/>
      <c r="I101" s="9">
        <f t="shared" si="2"/>
        <v>0</v>
      </c>
      <c r="J101" s="10" t="str">
        <f t="shared" si="3"/>
        <v>OK</v>
      </c>
      <c r="K101" s="11"/>
    </row>
    <row r="102" spans="1:11" x14ac:dyDescent="0.3">
      <c r="A102" s="12">
        <v>98</v>
      </c>
      <c r="B102" s="13"/>
      <c r="C102" s="13"/>
      <c r="D102" s="14"/>
      <c r="E102" s="14"/>
      <c r="F102" s="14"/>
      <c r="G102" s="14"/>
      <c r="H102" s="14"/>
      <c r="I102" s="15">
        <f t="shared" si="2"/>
        <v>0</v>
      </c>
      <c r="J102" s="16" t="str">
        <f t="shared" si="3"/>
        <v>OK</v>
      </c>
      <c r="K102" s="17"/>
    </row>
    <row r="103" spans="1:11" x14ac:dyDescent="0.3">
      <c r="A103" s="6">
        <v>99</v>
      </c>
      <c r="B103" s="7"/>
      <c r="C103" s="7"/>
      <c r="D103" s="8"/>
      <c r="E103" s="8"/>
      <c r="F103" s="8"/>
      <c r="G103" s="8"/>
      <c r="H103" s="8"/>
      <c r="I103" s="9">
        <f t="shared" si="2"/>
        <v>0</v>
      </c>
      <c r="J103" s="10" t="str">
        <f t="shared" si="3"/>
        <v>OK</v>
      </c>
      <c r="K103" s="11"/>
    </row>
    <row r="104" spans="1:11" x14ac:dyDescent="0.3">
      <c r="A104" s="12">
        <v>100</v>
      </c>
      <c r="B104" s="13"/>
      <c r="C104" s="13"/>
      <c r="D104" s="14"/>
      <c r="E104" s="14"/>
      <c r="F104" s="14"/>
      <c r="G104" s="14"/>
      <c r="H104" s="14"/>
      <c r="I104" s="15">
        <f t="shared" si="2"/>
        <v>0</v>
      </c>
      <c r="J104" s="16" t="str">
        <f t="shared" si="3"/>
        <v>OK</v>
      </c>
      <c r="K104" s="17"/>
    </row>
    <row r="105" spans="1:11" x14ac:dyDescent="0.3">
      <c r="A105" s="6">
        <v>101</v>
      </c>
      <c r="B105" s="7"/>
      <c r="C105" s="7"/>
      <c r="D105" s="8"/>
      <c r="E105" s="8"/>
      <c r="F105" s="8"/>
      <c r="G105" s="8"/>
      <c r="H105" s="8"/>
      <c r="I105" s="9">
        <f t="shared" si="2"/>
        <v>0</v>
      </c>
      <c r="J105" s="10" t="str">
        <f t="shared" si="3"/>
        <v>OK</v>
      </c>
      <c r="K105" s="11"/>
    </row>
    <row r="106" spans="1:11" x14ac:dyDescent="0.3">
      <c r="A106" s="12">
        <v>102</v>
      </c>
      <c r="B106" s="13"/>
      <c r="C106" s="13"/>
      <c r="D106" s="14"/>
      <c r="E106" s="14"/>
      <c r="F106" s="14"/>
      <c r="G106" s="14"/>
      <c r="H106" s="14"/>
      <c r="I106" s="15">
        <f t="shared" si="2"/>
        <v>0</v>
      </c>
      <c r="J106" s="16" t="str">
        <f t="shared" si="3"/>
        <v>OK</v>
      </c>
      <c r="K106" s="17"/>
    </row>
    <row r="107" spans="1:11" x14ac:dyDescent="0.3">
      <c r="A107" s="6">
        <v>103</v>
      </c>
      <c r="B107" s="7"/>
      <c r="C107" s="7"/>
      <c r="D107" s="8"/>
      <c r="E107" s="8"/>
      <c r="F107" s="8"/>
      <c r="G107" s="8"/>
      <c r="H107" s="8"/>
      <c r="I107" s="9">
        <f t="shared" si="2"/>
        <v>0</v>
      </c>
      <c r="J107" s="10" t="str">
        <f t="shared" si="3"/>
        <v>OK</v>
      </c>
      <c r="K107" s="11"/>
    </row>
    <row r="108" spans="1:11" x14ac:dyDescent="0.3">
      <c r="A108" s="12">
        <v>104</v>
      </c>
      <c r="B108" s="13"/>
      <c r="C108" s="13"/>
      <c r="D108" s="14"/>
      <c r="E108" s="14"/>
      <c r="F108" s="14"/>
      <c r="G108" s="14"/>
      <c r="H108" s="14"/>
      <c r="I108" s="15">
        <f t="shared" si="2"/>
        <v>0</v>
      </c>
      <c r="J108" s="16" t="str">
        <f t="shared" si="3"/>
        <v>OK</v>
      </c>
      <c r="K108" s="17"/>
    </row>
    <row r="109" spans="1:11" x14ac:dyDescent="0.3">
      <c r="A109" s="6">
        <v>105</v>
      </c>
      <c r="B109" s="7"/>
      <c r="C109" s="7"/>
      <c r="D109" s="8"/>
      <c r="E109" s="8"/>
      <c r="F109" s="8"/>
      <c r="G109" s="8"/>
      <c r="H109" s="8"/>
      <c r="I109" s="9">
        <f t="shared" si="2"/>
        <v>0</v>
      </c>
      <c r="J109" s="10" t="str">
        <f t="shared" si="3"/>
        <v>OK</v>
      </c>
      <c r="K109" s="11"/>
    </row>
    <row r="110" spans="1:11" x14ac:dyDescent="0.3">
      <c r="A110" s="12">
        <v>106</v>
      </c>
      <c r="B110" s="13"/>
      <c r="C110" s="13"/>
      <c r="D110" s="14"/>
      <c r="E110" s="14"/>
      <c r="F110" s="14"/>
      <c r="G110" s="14"/>
      <c r="H110" s="14"/>
      <c r="I110" s="15">
        <f t="shared" si="2"/>
        <v>0</v>
      </c>
      <c r="J110" s="16" t="str">
        <f t="shared" si="3"/>
        <v>OK</v>
      </c>
      <c r="K110" s="17"/>
    </row>
    <row r="111" spans="1:11" x14ac:dyDescent="0.3">
      <c r="A111" s="6">
        <v>107</v>
      </c>
      <c r="B111" s="7"/>
      <c r="C111" s="7"/>
      <c r="D111" s="8"/>
      <c r="E111" s="8"/>
      <c r="F111" s="8"/>
      <c r="G111" s="8"/>
      <c r="H111" s="8"/>
      <c r="I111" s="9">
        <f t="shared" si="2"/>
        <v>0</v>
      </c>
      <c r="J111" s="10" t="str">
        <f t="shared" si="3"/>
        <v>OK</v>
      </c>
      <c r="K111" s="11"/>
    </row>
    <row r="112" spans="1:11" x14ac:dyDescent="0.3">
      <c r="A112" s="12">
        <v>108</v>
      </c>
      <c r="B112" s="13"/>
      <c r="C112" s="13"/>
      <c r="D112" s="14"/>
      <c r="E112" s="14"/>
      <c r="F112" s="14"/>
      <c r="G112" s="14"/>
      <c r="H112" s="14"/>
      <c r="I112" s="15">
        <f t="shared" si="2"/>
        <v>0</v>
      </c>
      <c r="J112" s="16" t="str">
        <f t="shared" si="3"/>
        <v>OK</v>
      </c>
      <c r="K112" s="17"/>
    </row>
    <row r="113" spans="1:11" x14ac:dyDescent="0.3">
      <c r="A113" s="6">
        <v>109</v>
      </c>
      <c r="B113" s="7"/>
      <c r="C113" s="7"/>
      <c r="D113" s="8"/>
      <c r="E113" s="8"/>
      <c r="F113" s="8"/>
      <c r="G113" s="8"/>
      <c r="H113" s="8"/>
      <c r="I113" s="9">
        <f t="shared" si="2"/>
        <v>0</v>
      </c>
      <c r="J113" s="10" t="str">
        <f t="shared" si="3"/>
        <v>OK</v>
      </c>
      <c r="K113" s="11"/>
    </row>
    <row r="114" spans="1:11" x14ac:dyDescent="0.3">
      <c r="A114" s="12">
        <v>110</v>
      </c>
      <c r="B114" s="13"/>
      <c r="C114" s="13"/>
      <c r="D114" s="14"/>
      <c r="E114" s="14"/>
      <c r="F114" s="14"/>
      <c r="G114" s="14"/>
      <c r="H114" s="14"/>
      <c r="I114" s="15">
        <f t="shared" si="2"/>
        <v>0</v>
      </c>
      <c r="J114" s="16" t="str">
        <f t="shared" si="3"/>
        <v>OK</v>
      </c>
      <c r="K114" s="17"/>
    </row>
    <row r="115" spans="1:11" x14ac:dyDescent="0.3">
      <c r="A115" s="6">
        <v>111</v>
      </c>
      <c r="B115" s="7"/>
      <c r="C115" s="7"/>
      <c r="D115" s="8"/>
      <c r="E115" s="8"/>
      <c r="F115" s="8"/>
      <c r="G115" s="8"/>
      <c r="H115" s="8"/>
      <c r="I115" s="9">
        <f t="shared" si="2"/>
        <v>0</v>
      </c>
      <c r="J115" s="10" t="str">
        <f t="shared" si="3"/>
        <v>OK</v>
      </c>
      <c r="K115" s="11"/>
    </row>
    <row r="116" spans="1:11" x14ac:dyDescent="0.3">
      <c r="A116" s="12">
        <v>112</v>
      </c>
      <c r="B116" s="13"/>
      <c r="C116" s="13"/>
      <c r="D116" s="14"/>
      <c r="E116" s="14"/>
      <c r="F116" s="14"/>
      <c r="G116" s="14"/>
      <c r="H116" s="14"/>
      <c r="I116" s="15">
        <f t="shared" si="2"/>
        <v>0</v>
      </c>
      <c r="J116" s="16" t="str">
        <f t="shared" si="3"/>
        <v>OK</v>
      </c>
      <c r="K116" s="17"/>
    </row>
    <row r="117" spans="1:11" x14ac:dyDescent="0.3">
      <c r="A117" s="6">
        <v>113</v>
      </c>
      <c r="B117" s="7"/>
      <c r="C117" s="7"/>
      <c r="D117" s="8"/>
      <c r="E117" s="8"/>
      <c r="F117" s="8"/>
      <c r="G117" s="8"/>
      <c r="H117" s="8"/>
      <c r="I117" s="9">
        <f t="shared" si="2"/>
        <v>0</v>
      </c>
      <c r="J117" s="10" t="str">
        <f t="shared" si="3"/>
        <v>OK</v>
      </c>
      <c r="K117" s="11"/>
    </row>
    <row r="118" spans="1:11" x14ac:dyDescent="0.3">
      <c r="A118" s="12">
        <v>114</v>
      </c>
      <c r="B118" s="13"/>
      <c r="C118" s="13"/>
      <c r="D118" s="14"/>
      <c r="E118" s="14"/>
      <c r="F118" s="14"/>
      <c r="G118" s="14"/>
      <c r="H118" s="14"/>
      <c r="I118" s="15">
        <f t="shared" si="2"/>
        <v>0</v>
      </c>
      <c r="J118" s="16" t="str">
        <f t="shared" si="3"/>
        <v>OK</v>
      </c>
      <c r="K118" s="17"/>
    </row>
    <row r="119" spans="1:11" x14ac:dyDescent="0.3">
      <c r="A119" s="6">
        <v>115</v>
      </c>
      <c r="B119" s="7"/>
      <c r="C119" s="7"/>
      <c r="D119" s="8"/>
      <c r="E119" s="8"/>
      <c r="F119" s="8"/>
      <c r="G119" s="8"/>
      <c r="H119" s="8"/>
      <c r="I119" s="9">
        <f t="shared" ref="I119:I182" si="4">IFERROR(H119-G119,"-")</f>
        <v>0</v>
      </c>
      <c r="J119" s="10" t="str">
        <f t="shared" ref="J119:J182" si="5">IF(OR(I119="-",I119=""),"",IF(I119=0,"OK",IF(I119&gt;0,"Surplus","Kurang")))</f>
        <v>OK</v>
      </c>
      <c r="K119" s="11"/>
    </row>
    <row r="120" spans="1:11" x14ac:dyDescent="0.3">
      <c r="A120" s="12">
        <v>116</v>
      </c>
      <c r="B120" s="13"/>
      <c r="C120" s="13"/>
      <c r="D120" s="14"/>
      <c r="E120" s="14"/>
      <c r="F120" s="14"/>
      <c r="G120" s="14"/>
      <c r="H120" s="14"/>
      <c r="I120" s="15">
        <f t="shared" si="4"/>
        <v>0</v>
      </c>
      <c r="J120" s="16" t="str">
        <f t="shared" si="5"/>
        <v>OK</v>
      </c>
      <c r="K120" s="17"/>
    </row>
    <row r="121" spans="1:11" x14ac:dyDescent="0.3">
      <c r="A121" s="6">
        <v>117</v>
      </c>
      <c r="B121" s="7"/>
      <c r="C121" s="7"/>
      <c r="D121" s="8"/>
      <c r="E121" s="8"/>
      <c r="F121" s="8"/>
      <c r="G121" s="8"/>
      <c r="H121" s="8"/>
      <c r="I121" s="9">
        <f t="shared" si="4"/>
        <v>0</v>
      </c>
      <c r="J121" s="10" t="str">
        <f t="shared" si="5"/>
        <v>OK</v>
      </c>
      <c r="K121" s="11"/>
    </row>
    <row r="122" spans="1:11" x14ac:dyDescent="0.3">
      <c r="A122" s="12">
        <v>118</v>
      </c>
      <c r="B122" s="13"/>
      <c r="C122" s="13"/>
      <c r="D122" s="14"/>
      <c r="E122" s="14"/>
      <c r="F122" s="14"/>
      <c r="G122" s="14"/>
      <c r="H122" s="14"/>
      <c r="I122" s="15">
        <f t="shared" si="4"/>
        <v>0</v>
      </c>
      <c r="J122" s="16" t="str">
        <f t="shared" si="5"/>
        <v>OK</v>
      </c>
      <c r="K122" s="17"/>
    </row>
    <row r="123" spans="1:11" x14ac:dyDescent="0.3">
      <c r="A123" s="6">
        <v>119</v>
      </c>
      <c r="B123" s="7"/>
      <c r="C123" s="7"/>
      <c r="D123" s="8"/>
      <c r="E123" s="8"/>
      <c r="F123" s="8"/>
      <c r="G123" s="8"/>
      <c r="H123" s="8"/>
      <c r="I123" s="9">
        <f t="shared" si="4"/>
        <v>0</v>
      </c>
      <c r="J123" s="10" t="str">
        <f t="shared" si="5"/>
        <v>OK</v>
      </c>
      <c r="K123" s="11"/>
    </row>
    <row r="124" spans="1:11" x14ac:dyDescent="0.3">
      <c r="A124" s="12">
        <v>120</v>
      </c>
      <c r="B124" s="13"/>
      <c r="C124" s="13"/>
      <c r="D124" s="14"/>
      <c r="E124" s="14"/>
      <c r="F124" s="14"/>
      <c r="G124" s="14"/>
      <c r="H124" s="14"/>
      <c r="I124" s="15">
        <f t="shared" si="4"/>
        <v>0</v>
      </c>
      <c r="J124" s="16" t="str">
        <f t="shared" si="5"/>
        <v>OK</v>
      </c>
      <c r="K124" s="17"/>
    </row>
    <row r="125" spans="1:11" x14ac:dyDescent="0.3">
      <c r="A125" s="6">
        <v>121</v>
      </c>
      <c r="B125" s="7"/>
      <c r="C125" s="7"/>
      <c r="D125" s="8"/>
      <c r="E125" s="8"/>
      <c r="F125" s="8"/>
      <c r="G125" s="8"/>
      <c r="H125" s="8"/>
      <c r="I125" s="9">
        <f t="shared" si="4"/>
        <v>0</v>
      </c>
      <c r="J125" s="10" t="str">
        <f t="shared" si="5"/>
        <v>OK</v>
      </c>
      <c r="K125" s="11"/>
    </row>
    <row r="126" spans="1:11" x14ac:dyDescent="0.3">
      <c r="A126" s="12">
        <v>122</v>
      </c>
      <c r="B126" s="13"/>
      <c r="C126" s="13"/>
      <c r="D126" s="14"/>
      <c r="E126" s="14"/>
      <c r="F126" s="14"/>
      <c r="G126" s="14"/>
      <c r="H126" s="14"/>
      <c r="I126" s="15">
        <f t="shared" si="4"/>
        <v>0</v>
      </c>
      <c r="J126" s="16" t="str">
        <f t="shared" si="5"/>
        <v>OK</v>
      </c>
      <c r="K126" s="17"/>
    </row>
    <row r="127" spans="1:11" x14ac:dyDescent="0.3">
      <c r="A127" s="6">
        <v>123</v>
      </c>
      <c r="B127" s="7"/>
      <c r="C127" s="7"/>
      <c r="D127" s="8"/>
      <c r="E127" s="8"/>
      <c r="F127" s="8"/>
      <c r="G127" s="8"/>
      <c r="H127" s="8"/>
      <c r="I127" s="9">
        <f t="shared" si="4"/>
        <v>0</v>
      </c>
      <c r="J127" s="10" t="str">
        <f t="shared" si="5"/>
        <v>OK</v>
      </c>
      <c r="K127" s="11"/>
    </row>
    <row r="128" spans="1:11" x14ac:dyDescent="0.3">
      <c r="A128" s="12">
        <v>124</v>
      </c>
      <c r="B128" s="13"/>
      <c r="C128" s="13"/>
      <c r="D128" s="14"/>
      <c r="E128" s="14"/>
      <c r="F128" s="14"/>
      <c r="G128" s="14"/>
      <c r="H128" s="14"/>
      <c r="I128" s="15">
        <f t="shared" si="4"/>
        <v>0</v>
      </c>
      <c r="J128" s="16" t="str">
        <f t="shared" si="5"/>
        <v>OK</v>
      </c>
      <c r="K128" s="17"/>
    </row>
    <row r="129" spans="1:11" x14ac:dyDescent="0.3">
      <c r="A129" s="6">
        <v>125</v>
      </c>
      <c r="B129" s="7"/>
      <c r="C129" s="7"/>
      <c r="D129" s="8"/>
      <c r="E129" s="8"/>
      <c r="F129" s="8"/>
      <c r="G129" s="8"/>
      <c r="H129" s="8"/>
      <c r="I129" s="9">
        <f t="shared" si="4"/>
        <v>0</v>
      </c>
      <c r="J129" s="10" t="str">
        <f t="shared" si="5"/>
        <v>OK</v>
      </c>
      <c r="K129" s="11"/>
    </row>
    <row r="130" spans="1:11" x14ac:dyDescent="0.3">
      <c r="A130" s="12">
        <v>126</v>
      </c>
      <c r="B130" s="13"/>
      <c r="C130" s="13"/>
      <c r="D130" s="14"/>
      <c r="E130" s="14"/>
      <c r="F130" s="14"/>
      <c r="G130" s="14"/>
      <c r="H130" s="14"/>
      <c r="I130" s="15">
        <f t="shared" si="4"/>
        <v>0</v>
      </c>
      <c r="J130" s="16" t="str">
        <f t="shared" si="5"/>
        <v>OK</v>
      </c>
      <c r="K130" s="17"/>
    </row>
    <row r="131" spans="1:11" x14ac:dyDescent="0.3">
      <c r="A131" s="6">
        <v>127</v>
      </c>
      <c r="B131" s="7"/>
      <c r="C131" s="7"/>
      <c r="D131" s="8"/>
      <c r="E131" s="8"/>
      <c r="F131" s="8"/>
      <c r="G131" s="8"/>
      <c r="H131" s="8"/>
      <c r="I131" s="9">
        <f t="shared" si="4"/>
        <v>0</v>
      </c>
      <c r="J131" s="10" t="str">
        <f t="shared" si="5"/>
        <v>OK</v>
      </c>
      <c r="K131" s="11"/>
    </row>
    <row r="132" spans="1:11" x14ac:dyDescent="0.3">
      <c r="A132" s="12">
        <v>128</v>
      </c>
      <c r="B132" s="13"/>
      <c r="C132" s="13"/>
      <c r="D132" s="14"/>
      <c r="E132" s="14"/>
      <c r="F132" s="14"/>
      <c r="G132" s="14"/>
      <c r="H132" s="14"/>
      <c r="I132" s="15">
        <f t="shared" si="4"/>
        <v>0</v>
      </c>
      <c r="J132" s="16" t="str">
        <f t="shared" si="5"/>
        <v>OK</v>
      </c>
      <c r="K132" s="17"/>
    </row>
    <row r="133" spans="1:11" x14ac:dyDescent="0.3">
      <c r="A133" s="6">
        <v>129</v>
      </c>
      <c r="B133" s="7"/>
      <c r="C133" s="7"/>
      <c r="D133" s="8"/>
      <c r="E133" s="8"/>
      <c r="F133" s="8"/>
      <c r="G133" s="8"/>
      <c r="H133" s="8"/>
      <c r="I133" s="9">
        <f t="shared" si="4"/>
        <v>0</v>
      </c>
      <c r="J133" s="10" t="str">
        <f t="shared" si="5"/>
        <v>OK</v>
      </c>
      <c r="K133" s="11"/>
    </row>
    <row r="134" spans="1:11" x14ac:dyDescent="0.3">
      <c r="A134" s="12">
        <v>130</v>
      </c>
      <c r="B134" s="13"/>
      <c r="C134" s="13"/>
      <c r="D134" s="14"/>
      <c r="E134" s="14"/>
      <c r="F134" s="14"/>
      <c r="G134" s="14"/>
      <c r="H134" s="14"/>
      <c r="I134" s="15">
        <f t="shared" si="4"/>
        <v>0</v>
      </c>
      <c r="J134" s="16" t="str">
        <f t="shared" si="5"/>
        <v>OK</v>
      </c>
      <c r="K134" s="17"/>
    </row>
    <row r="135" spans="1:11" x14ac:dyDescent="0.3">
      <c r="A135" s="6">
        <v>131</v>
      </c>
      <c r="B135" s="7"/>
      <c r="C135" s="7"/>
      <c r="D135" s="8"/>
      <c r="E135" s="8"/>
      <c r="F135" s="8"/>
      <c r="G135" s="8"/>
      <c r="H135" s="8"/>
      <c r="I135" s="9">
        <f t="shared" si="4"/>
        <v>0</v>
      </c>
      <c r="J135" s="10" t="str">
        <f t="shared" si="5"/>
        <v>OK</v>
      </c>
      <c r="K135" s="11"/>
    </row>
    <row r="136" spans="1:11" x14ac:dyDescent="0.3">
      <c r="A136" s="12">
        <v>132</v>
      </c>
      <c r="B136" s="13"/>
      <c r="C136" s="13"/>
      <c r="D136" s="14"/>
      <c r="E136" s="14"/>
      <c r="F136" s="14"/>
      <c r="G136" s="14"/>
      <c r="H136" s="14"/>
      <c r="I136" s="15">
        <f t="shared" si="4"/>
        <v>0</v>
      </c>
      <c r="J136" s="16" t="str">
        <f t="shared" si="5"/>
        <v>OK</v>
      </c>
      <c r="K136" s="17"/>
    </row>
    <row r="137" spans="1:11" x14ac:dyDescent="0.3">
      <c r="A137" s="6">
        <v>133</v>
      </c>
      <c r="B137" s="7"/>
      <c r="C137" s="7"/>
      <c r="D137" s="8"/>
      <c r="E137" s="8"/>
      <c r="F137" s="8"/>
      <c r="G137" s="8"/>
      <c r="H137" s="8"/>
      <c r="I137" s="9">
        <f t="shared" si="4"/>
        <v>0</v>
      </c>
      <c r="J137" s="10" t="str">
        <f t="shared" si="5"/>
        <v>OK</v>
      </c>
      <c r="K137" s="11"/>
    </row>
    <row r="138" spans="1:11" x14ac:dyDescent="0.3">
      <c r="A138" s="12">
        <v>134</v>
      </c>
      <c r="B138" s="13"/>
      <c r="C138" s="13"/>
      <c r="D138" s="14"/>
      <c r="E138" s="14"/>
      <c r="F138" s="14"/>
      <c r="G138" s="14"/>
      <c r="H138" s="14"/>
      <c r="I138" s="15">
        <f t="shared" si="4"/>
        <v>0</v>
      </c>
      <c r="J138" s="16" t="str">
        <f t="shared" si="5"/>
        <v>OK</v>
      </c>
      <c r="K138" s="17"/>
    </row>
    <row r="139" spans="1:11" x14ac:dyDescent="0.3">
      <c r="A139" s="6">
        <v>135</v>
      </c>
      <c r="B139" s="7"/>
      <c r="C139" s="7"/>
      <c r="D139" s="8"/>
      <c r="E139" s="8"/>
      <c r="F139" s="8"/>
      <c r="G139" s="8"/>
      <c r="H139" s="8"/>
      <c r="I139" s="9">
        <f t="shared" si="4"/>
        <v>0</v>
      </c>
      <c r="J139" s="10" t="str">
        <f t="shared" si="5"/>
        <v>OK</v>
      </c>
      <c r="K139" s="11"/>
    </row>
    <row r="140" spans="1:11" x14ac:dyDescent="0.3">
      <c r="A140" s="12">
        <v>136</v>
      </c>
      <c r="B140" s="13"/>
      <c r="C140" s="13"/>
      <c r="D140" s="14"/>
      <c r="E140" s="14"/>
      <c r="F140" s="14"/>
      <c r="G140" s="14"/>
      <c r="H140" s="14"/>
      <c r="I140" s="15">
        <f t="shared" si="4"/>
        <v>0</v>
      </c>
      <c r="J140" s="16" t="str">
        <f t="shared" si="5"/>
        <v>OK</v>
      </c>
      <c r="K140" s="17"/>
    </row>
    <row r="141" spans="1:11" x14ac:dyDescent="0.3">
      <c r="A141" s="6">
        <v>137</v>
      </c>
      <c r="B141" s="7"/>
      <c r="C141" s="7"/>
      <c r="D141" s="8"/>
      <c r="E141" s="8"/>
      <c r="F141" s="8"/>
      <c r="G141" s="8"/>
      <c r="H141" s="8"/>
      <c r="I141" s="9">
        <f t="shared" si="4"/>
        <v>0</v>
      </c>
      <c r="J141" s="10" t="str">
        <f t="shared" si="5"/>
        <v>OK</v>
      </c>
      <c r="K141" s="11"/>
    </row>
    <row r="142" spans="1:11" x14ac:dyDescent="0.3">
      <c r="A142" s="12">
        <v>138</v>
      </c>
      <c r="B142" s="13"/>
      <c r="C142" s="13"/>
      <c r="D142" s="14"/>
      <c r="E142" s="14"/>
      <c r="F142" s="14"/>
      <c r="G142" s="14"/>
      <c r="H142" s="14"/>
      <c r="I142" s="15">
        <f t="shared" si="4"/>
        <v>0</v>
      </c>
      <c r="J142" s="16" t="str">
        <f t="shared" si="5"/>
        <v>OK</v>
      </c>
      <c r="K142" s="17"/>
    </row>
    <row r="143" spans="1:11" x14ac:dyDescent="0.3">
      <c r="A143" s="6">
        <v>139</v>
      </c>
      <c r="B143" s="7"/>
      <c r="C143" s="7"/>
      <c r="D143" s="8"/>
      <c r="E143" s="8"/>
      <c r="F143" s="8"/>
      <c r="G143" s="8"/>
      <c r="H143" s="8"/>
      <c r="I143" s="9">
        <f t="shared" si="4"/>
        <v>0</v>
      </c>
      <c r="J143" s="10" t="str">
        <f t="shared" si="5"/>
        <v>OK</v>
      </c>
      <c r="K143" s="11"/>
    </row>
    <row r="144" spans="1:11" x14ac:dyDescent="0.3">
      <c r="A144" s="12">
        <v>140</v>
      </c>
      <c r="B144" s="13"/>
      <c r="C144" s="13"/>
      <c r="D144" s="14"/>
      <c r="E144" s="14"/>
      <c r="F144" s="14"/>
      <c r="G144" s="14"/>
      <c r="H144" s="14"/>
      <c r="I144" s="15">
        <f t="shared" si="4"/>
        <v>0</v>
      </c>
      <c r="J144" s="16" t="str">
        <f t="shared" si="5"/>
        <v>OK</v>
      </c>
      <c r="K144" s="17"/>
    </row>
    <row r="145" spans="1:11" x14ac:dyDescent="0.3">
      <c r="A145" s="6">
        <v>141</v>
      </c>
      <c r="B145" s="7"/>
      <c r="C145" s="7"/>
      <c r="D145" s="8"/>
      <c r="E145" s="8"/>
      <c r="F145" s="8"/>
      <c r="G145" s="8"/>
      <c r="H145" s="8"/>
      <c r="I145" s="9">
        <f t="shared" si="4"/>
        <v>0</v>
      </c>
      <c r="J145" s="10" t="str">
        <f t="shared" si="5"/>
        <v>OK</v>
      </c>
      <c r="K145" s="11"/>
    </row>
    <row r="146" spans="1:11" x14ac:dyDescent="0.3">
      <c r="A146" s="12">
        <v>142</v>
      </c>
      <c r="B146" s="13"/>
      <c r="C146" s="13"/>
      <c r="D146" s="14"/>
      <c r="E146" s="14"/>
      <c r="F146" s="14"/>
      <c r="G146" s="14"/>
      <c r="H146" s="14"/>
      <c r="I146" s="15">
        <f t="shared" si="4"/>
        <v>0</v>
      </c>
      <c r="J146" s="16" t="str">
        <f t="shared" si="5"/>
        <v>OK</v>
      </c>
      <c r="K146" s="17"/>
    </row>
    <row r="147" spans="1:11" x14ac:dyDescent="0.3">
      <c r="A147" s="6">
        <v>143</v>
      </c>
      <c r="B147" s="7"/>
      <c r="C147" s="7"/>
      <c r="D147" s="8"/>
      <c r="E147" s="8"/>
      <c r="F147" s="8"/>
      <c r="G147" s="8"/>
      <c r="H147" s="8"/>
      <c r="I147" s="9">
        <f t="shared" si="4"/>
        <v>0</v>
      </c>
      <c r="J147" s="10" t="str">
        <f t="shared" si="5"/>
        <v>OK</v>
      </c>
      <c r="K147" s="11"/>
    </row>
    <row r="148" spans="1:11" x14ac:dyDescent="0.3">
      <c r="A148" s="12">
        <v>144</v>
      </c>
      <c r="B148" s="13"/>
      <c r="C148" s="13"/>
      <c r="D148" s="14"/>
      <c r="E148" s="14"/>
      <c r="F148" s="14"/>
      <c r="G148" s="14"/>
      <c r="H148" s="14"/>
      <c r="I148" s="15">
        <f t="shared" si="4"/>
        <v>0</v>
      </c>
      <c r="J148" s="16" t="str">
        <f t="shared" si="5"/>
        <v>OK</v>
      </c>
      <c r="K148" s="17"/>
    </row>
    <row r="149" spans="1:11" x14ac:dyDescent="0.3">
      <c r="A149" s="6">
        <v>145</v>
      </c>
      <c r="B149" s="7"/>
      <c r="C149" s="7"/>
      <c r="D149" s="8"/>
      <c r="E149" s="8"/>
      <c r="F149" s="8"/>
      <c r="G149" s="8"/>
      <c r="H149" s="8"/>
      <c r="I149" s="9">
        <f t="shared" si="4"/>
        <v>0</v>
      </c>
      <c r="J149" s="10" t="str">
        <f t="shared" si="5"/>
        <v>OK</v>
      </c>
      <c r="K149" s="11"/>
    </row>
    <row r="150" spans="1:11" x14ac:dyDescent="0.3">
      <c r="A150" s="12">
        <v>146</v>
      </c>
      <c r="B150" s="13"/>
      <c r="C150" s="13"/>
      <c r="D150" s="14"/>
      <c r="E150" s="14"/>
      <c r="F150" s="14"/>
      <c r="G150" s="14"/>
      <c r="H150" s="14"/>
      <c r="I150" s="15">
        <f t="shared" si="4"/>
        <v>0</v>
      </c>
      <c r="J150" s="16" t="str">
        <f t="shared" si="5"/>
        <v>OK</v>
      </c>
      <c r="K150" s="17"/>
    </row>
    <row r="151" spans="1:11" x14ac:dyDescent="0.3">
      <c r="A151" s="6">
        <v>147</v>
      </c>
      <c r="B151" s="7"/>
      <c r="C151" s="7"/>
      <c r="D151" s="8"/>
      <c r="E151" s="8"/>
      <c r="F151" s="8"/>
      <c r="G151" s="8"/>
      <c r="H151" s="8"/>
      <c r="I151" s="9">
        <f t="shared" si="4"/>
        <v>0</v>
      </c>
      <c r="J151" s="10" t="str">
        <f t="shared" si="5"/>
        <v>OK</v>
      </c>
      <c r="K151" s="11"/>
    </row>
    <row r="152" spans="1:11" x14ac:dyDescent="0.3">
      <c r="A152" s="12">
        <v>148</v>
      </c>
      <c r="B152" s="13"/>
      <c r="C152" s="13"/>
      <c r="D152" s="14"/>
      <c r="E152" s="14"/>
      <c r="F152" s="14"/>
      <c r="G152" s="14"/>
      <c r="H152" s="14"/>
      <c r="I152" s="15">
        <f t="shared" si="4"/>
        <v>0</v>
      </c>
      <c r="J152" s="16" t="str">
        <f t="shared" si="5"/>
        <v>OK</v>
      </c>
      <c r="K152" s="17"/>
    </row>
    <row r="153" spans="1:11" x14ac:dyDescent="0.3">
      <c r="A153" s="6">
        <v>149</v>
      </c>
      <c r="B153" s="7"/>
      <c r="C153" s="7"/>
      <c r="D153" s="8"/>
      <c r="E153" s="8"/>
      <c r="F153" s="8"/>
      <c r="G153" s="8"/>
      <c r="H153" s="8"/>
      <c r="I153" s="9">
        <f t="shared" si="4"/>
        <v>0</v>
      </c>
      <c r="J153" s="10" t="str">
        <f t="shared" si="5"/>
        <v>OK</v>
      </c>
      <c r="K153" s="11"/>
    </row>
    <row r="154" spans="1:11" x14ac:dyDescent="0.3">
      <c r="A154" s="12">
        <v>150</v>
      </c>
      <c r="B154" s="13"/>
      <c r="C154" s="13"/>
      <c r="D154" s="14"/>
      <c r="E154" s="14"/>
      <c r="F154" s="14"/>
      <c r="G154" s="14"/>
      <c r="H154" s="14"/>
      <c r="I154" s="15">
        <f t="shared" si="4"/>
        <v>0</v>
      </c>
      <c r="J154" s="16" t="str">
        <f t="shared" si="5"/>
        <v>OK</v>
      </c>
      <c r="K154" s="17"/>
    </row>
    <row r="155" spans="1:11" x14ac:dyDescent="0.3">
      <c r="A155" s="6">
        <v>151</v>
      </c>
      <c r="B155" s="7"/>
      <c r="C155" s="7"/>
      <c r="D155" s="8"/>
      <c r="E155" s="8"/>
      <c r="F155" s="8"/>
      <c r="G155" s="8"/>
      <c r="H155" s="8"/>
      <c r="I155" s="9">
        <f t="shared" si="4"/>
        <v>0</v>
      </c>
      <c r="J155" s="10" t="str">
        <f t="shared" si="5"/>
        <v>OK</v>
      </c>
      <c r="K155" s="11"/>
    </row>
    <row r="156" spans="1:11" x14ac:dyDescent="0.3">
      <c r="A156" s="12">
        <v>152</v>
      </c>
      <c r="B156" s="13"/>
      <c r="C156" s="13"/>
      <c r="D156" s="14"/>
      <c r="E156" s="14"/>
      <c r="F156" s="14"/>
      <c r="G156" s="14"/>
      <c r="H156" s="14"/>
      <c r="I156" s="15">
        <f t="shared" si="4"/>
        <v>0</v>
      </c>
      <c r="J156" s="16" t="str">
        <f t="shared" si="5"/>
        <v>OK</v>
      </c>
      <c r="K156" s="17"/>
    </row>
    <row r="157" spans="1:11" x14ac:dyDescent="0.3">
      <c r="A157" s="6">
        <v>153</v>
      </c>
      <c r="B157" s="7"/>
      <c r="C157" s="7"/>
      <c r="D157" s="8"/>
      <c r="E157" s="8"/>
      <c r="F157" s="8"/>
      <c r="G157" s="8"/>
      <c r="H157" s="8"/>
      <c r="I157" s="9">
        <f t="shared" si="4"/>
        <v>0</v>
      </c>
      <c r="J157" s="10" t="str">
        <f t="shared" si="5"/>
        <v>OK</v>
      </c>
      <c r="K157" s="11"/>
    </row>
    <row r="158" spans="1:11" x14ac:dyDescent="0.3">
      <c r="A158" s="12">
        <v>154</v>
      </c>
      <c r="B158" s="13"/>
      <c r="C158" s="13"/>
      <c r="D158" s="14"/>
      <c r="E158" s="14"/>
      <c r="F158" s="14"/>
      <c r="G158" s="14"/>
      <c r="H158" s="14"/>
      <c r="I158" s="15">
        <f t="shared" si="4"/>
        <v>0</v>
      </c>
      <c r="J158" s="16" t="str">
        <f t="shared" si="5"/>
        <v>OK</v>
      </c>
      <c r="K158" s="17"/>
    </row>
    <row r="159" spans="1:11" x14ac:dyDescent="0.3">
      <c r="A159" s="6">
        <v>155</v>
      </c>
      <c r="B159" s="7"/>
      <c r="C159" s="7"/>
      <c r="D159" s="8"/>
      <c r="E159" s="8"/>
      <c r="F159" s="8"/>
      <c r="G159" s="8"/>
      <c r="H159" s="8"/>
      <c r="I159" s="9">
        <f t="shared" si="4"/>
        <v>0</v>
      </c>
      <c r="J159" s="10" t="str">
        <f t="shared" si="5"/>
        <v>OK</v>
      </c>
      <c r="K159" s="11"/>
    </row>
    <row r="160" spans="1:11" x14ac:dyDescent="0.3">
      <c r="A160" s="12">
        <v>156</v>
      </c>
      <c r="B160" s="13"/>
      <c r="C160" s="13"/>
      <c r="D160" s="14"/>
      <c r="E160" s="14"/>
      <c r="F160" s="14"/>
      <c r="G160" s="14"/>
      <c r="H160" s="14"/>
      <c r="I160" s="15">
        <f t="shared" si="4"/>
        <v>0</v>
      </c>
      <c r="J160" s="16" t="str">
        <f t="shared" si="5"/>
        <v>OK</v>
      </c>
      <c r="K160" s="17"/>
    </row>
    <row r="161" spans="1:11" x14ac:dyDescent="0.3">
      <c r="A161" s="6">
        <v>157</v>
      </c>
      <c r="B161" s="7"/>
      <c r="C161" s="7"/>
      <c r="D161" s="8"/>
      <c r="E161" s="8"/>
      <c r="F161" s="8"/>
      <c r="G161" s="8"/>
      <c r="H161" s="8"/>
      <c r="I161" s="9">
        <f t="shared" si="4"/>
        <v>0</v>
      </c>
      <c r="J161" s="10" t="str">
        <f t="shared" si="5"/>
        <v>OK</v>
      </c>
      <c r="K161" s="11"/>
    </row>
    <row r="162" spans="1:11" x14ac:dyDescent="0.3">
      <c r="A162" s="12">
        <v>158</v>
      </c>
      <c r="B162" s="13"/>
      <c r="C162" s="13"/>
      <c r="D162" s="14"/>
      <c r="E162" s="14"/>
      <c r="F162" s="14"/>
      <c r="G162" s="14"/>
      <c r="H162" s="14"/>
      <c r="I162" s="15">
        <f t="shared" si="4"/>
        <v>0</v>
      </c>
      <c r="J162" s="16" t="str">
        <f t="shared" si="5"/>
        <v>OK</v>
      </c>
      <c r="K162" s="17"/>
    </row>
    <row r="163" spans="1:11" x14ac:dyDescent="0.3">
      <c r="A163" s="6">
        <v>159</v>
      </c>
      <c r="B163" s="7"/>
      <c r="C163" s="7"/>
      <c r="D163" s="8"/>
      <c r="E163" s="8"/>
      <c r="F163" s="8"/>
      <c r="G163" s="8"/>
      <c r="H163" s="8"/>
      <c r="I163" s="9">
        <f t="shared" si="4"/>
        <v>0</v>
      </c>
      <c r="J163" s="10" t="str">
        <f t="shared" si="5"/>
        <v>OK</v>
      </c>
      <c r="K163" s="11"/>
    </row>
    <row r="164" spans="1:11" x14ac:dyDescent="0.3">
      <c r="A164" s="12">
        <v>160</v>
      </c>
      <c r="B164" s="13"/>
      <c r="C164" s="13"/>
      <c r="D164" s="14"/>
      <c r="E164" s="14"/>
      <c r="F164" s="14"/>
      <c r="G164" s="14"/>
      <c r="H164" s="14"/>
      <c r="I164" s="15">
        <f t="shared" si="4"/>
        <v>0</v>
      </c>
      <c r="J164" s="16" t="str">
        <f t="shared" si="5"/>
        <v>OK</v>
      </c>
      <c r="K164" s="17"/>
    </row>
    <row r="165" spans="1:11" x14ac:dyDescent="0.3">
      <c r="A165" s="6">
        <v>161</v>
      </c>
      <c r="B165" s="7"/>
      <c r="C165" s="7"/>
      <c r="D165" s="8"/>
      <c r="E165" s="8"/>
      <c r="F165" s="8"/>
      <c r="G165" s="8"/>
      <c r="H165" s="8"/>
      <c r="I165" s="9">
        <f t="shared" si="4"/>
        <v>0</v>
      </c>
      <c r="J165" s="10" t="str">
        <f t="shared" si="5"/>
        <v>OK</v>
      </c>
      <c r="K165" s="11"/>
    </row>
    <row r="166" spans="1:11" x14ac:dyDescent="0.3">
      <c r="A166" s="12">
        <v>162</v>
      </c>
      <c r="B166" s="13"/>
      <c r="C166" s="13"/>
      <c r="D166" s="14"/>
      <c r="E166" s="14"/>
      <c r="F166" s="14"/>
      <c r="G166" s="14"/>
      <c r="H166" s="14"/>
      <c r="I166" s="15">
        <f t="shared" si="4"/>
        <v>0</v>
      </c>
      <c r="J166" s="16" t="str">
        <f t="shared" si="5"/>
        <v>OK</v>
      </c>
      <c r="K166" s="17"/>
    </row>
    <row r="167" spans="1:11" x14ac:dyDescent="0.3">
      <c r="A167" s="6">
        <v>163</v>
      </c>
      <c r="B167" s="7"/>
      <c r="C167" s="7"/>
      <c r="D167" s="8"/>
      <c r="E167" s="8"/>
      <c r="F167" s="8"/>
      <c r="G167" s="8"/>
      <c r="H167" s="8"/>
      <c r="I167" s="9">
        <f t="shared" si="4"/>
        <v>0</v>
      </c>
      <c r="J167" s="10" t="str">
        <f t="shared" si="5"/>
        <v>OK</v>
      </c>
      <c r="K167" s="11"/>
    </row>
    <row r="168" spans="1:11" x14ac:dyDescent="0.3">
      <c r="A168" s="12">
        <v>164</v>
      </c>
      <c r="B168" s="13"/>
      <c r="C168" s="13"/>
      <c r="D168" s="14"/>
      <c r="E168" s="14"/>
      <c r="F168" s="14"/>
      <c r="G168" s="14"/>
      <c r="H168" s="14"/>
      <c r="I168" s="15">
        <f t="shared" si="4"/>
        <v>0</v>
      </c>
      <c r="J168" s="16" t="str">
        <f t="shared" si="5"/>
        <v>OK</v>
      </c>
      <c r="K168" s="17"/>
    </row>
    <row r="169" spans="1:11" x14ac:dyDescent="0.3">
      <c r="A169" s="6">
        <v>165</v>
      </c>
      <c r="B169" s="7"/>
      <c r="C169" s="7"/>
      <c r="D169" s="8"/>
      <c r="E169" s="8"/>
      <c r="F169" s="8"/>
      <c r="G169" s="8"/>
      <c r="H169" s="8"/>
      <c r="I169" s="9">
        <f t="shared" si="4"/>
        <v>0</v>
      </c>
      <c r="J169" s="10" t="str">
        <f t="shared" si="5"/>
        <v>OK</v>
      </c>
      <c r="K169" s="11"/>
    </row>
    <row r="170" spans="1:11" x14ac:dyDescent="0.3">
      <c r="A170" s="12">
        <v>166</v>
      </c>
      <c r="B170" s="13"/>
      <c r="C170" s="13"/>
      <c r="D170" s="14"/>
      <c r="E170" s="14"/>
      <c r="F170" s="14"/>
      <c r="G170" s="14"/>
      <c r="H170" s="14"/>
      <c r="I170" s="15">
        <f t="shared" si="4"/>
        <v>0</v>
      </c>
      <c r="J170" s="16" t="str">
        <f t="shared" si="5"/>
        <v>OK</v>
      </c>
      <c r="K170" s="17"/>
    </row>
    <row r="171" spans="1:11" x14ac:dyDescent="0.3">
      <c r="A171" s="6">
        <v>167</v>
      </c>
      <c r="B171" s="7"/>
      <c r="C171" s="7"/>
      <c r="D171" s="8"/>
      <c r="E171" s="8"/>
      <c r="F171" s="8"/>
      <c r="G171" s="8"/>
      <c r="H171" s="8"/>
      <c r="I171" s="9">
        <f t="shared" si="4"/>
        <v>0</v>
      </c>
      <c r="J171" s="10" t="str">
        <f t="shared" si="5"/>
        <v>OK</v>
      </c>
      <c r="K171" s="11"/>
    </row>
    <row r="172" spans="1:11" x14ac:dyDescent="0.3">
      <c r="A172" s="12">
        <v>168</v>
      </c>
      <c r="B172" s="13"/>
      <c r="C172" s="13"/>
      <c r="D172" s="14"/>
      <c r="E172" s="14"/>
      <c r="F172" s="14"/>
      <c r="G172" s="14"/>
      <c r="H172" s="14"/>
      <c r="I172" s="15">
        <f t="shared" si="4"/>
        <v>0</v>
      </c>
      <c r="J172" s="16" t="str">
        <f t="shared" si="5"/>
        <v>OK</v>
      </c>
      <c r="K172" s="17"/>
    </row>
    <row r="173" spans="1:11" x14ac:dyDescent="0.3">
      <c r="A173" s="6">
        <v>169</v>
      </c>
      <c r="B173" s="7"/>
      <c r="C173" s="7"/>
      <c r="D173" s="8"/>
      <c r="E173" s="8"/>
      <c r="F173" s="8"/>
      <c r="G173" s="8"/>
      <c r="H173" s="8"/>
      <c r="I173" s="9">
        <f t="shared" si="4"/>
        <v>0</v>
      </c>
      <c r="J173" s="10" t="str">
        <f t="shared" si="5"/>
        <v>OK</v>
      </c>
      <c r="K173" s="11"/>
    </row>
    <row r="174" spans="1:11" x14ac:dyDescent="0.3">
      <c r="A174" s="12">
        <v>170</v>
      </c>
      <c r="B174" s="13"/>
      <c r="C174" s="13"/>
      <c r="D174" s="14"/>
      <c r="E174" s="14"/>
      <c r="F174" s="14"/>
      <c r="G174" s="14"/>
      <c r="H174" s="14"/>
      <c r="I174" s="15">
        <f t="shared" si="4"/>
        <v>0</v>
      </c>
      <c r="J174" s="16" t="str">
        <f t="shared" si="5"/>
        <v>OK</v>
      </c>
      <c r="K174" s="17"/>
    </row>
    <row r="175" spans="1:11" x14ac:dyDescent="0.3">
      <c r="A175" s="6">
        <v>171</v>
      </c>
      <c r="B175" s="7"/>
      <c r="C175" s="7"/>
      <c r="D175" s="8"/>
      <c r="E175" s="8"/>
      <c r="F175" s="8"/>
      <c r="G175" s="8"/>
      <c r="H175" s="8"/>
      <c r="I175" s="9">
        <f t="shared" si="4"/>
        <v>0</v>
      </c>
      <c r="J175" s="10" t="str">
        <f t="shared" si="5"/>
        <v>OK</v>
      </c>
      <c r="K175" s="11"/>
    </row>
    <row r="176" spans="1:11" x14ac:dyDescent="0.3">
      <c r="A176" s="12">
        <v>172</v>
      </c>
      <c r="B176" s="13"/>
      <c r="C176" s="13"/>
      <c r="D176" s="14"/>
      <c r="E176" s="14"/>
      <c r="F176" s="14"/>
      <c r="G176" s="14"/>
      <c r="H176" s="14"/>
      <c r="I176" s="15">
        <f t="shared" si="4"/>
        <v>0</v>
      </c>
      <c r="J176" s="16" t="str">
        <f t="shared" si="5"/>
        <v>OK</v>
      </c>
      <c r="K176" s="17"/>
    </row>
    <row r="177" spans="1:11" x14ac:dyDescent="0.3">
      <c r="A177" s="6">
        <v>173</v>
      </c>
      <c r="B177" s="7"/>
      <c r="C177" s="7"/>
      <c r="D177" s="8"/>
      <c r="E177" s="8"/>
      <c r="F177" s="8"/>
      <c r="G177" s="8"/>
      <c r="H177" s="8"/>
      <c r="I177" s="9">
        <f t="shared" si="4"/>
        <v>0</v>
      </c>
      <c r="J177" s="10" t="str">
        <f t="shared" si="5"/>
        <v>OK</v>
      </c>
      <c r="K177" s="11"/>
    </row>
    <row r="178" spans="1:11" x14ac:dyDescent="0.3">
      <c r="A178" s="12">
        <v>174</v>
      </c>
      <c r="B178" s="13"/>
      <c r="C178" s="13"/>
      <c r="D178" s="14"/>
      <c r="E178" s="14"/>
      <c r="F178" s="14"/>
      <c r="G178" s="14"/>
      <c r="H178" s="14"/>
      <c r="I178" s="15">
        <f t="shared" si="4"/>
        <v>0</v>
      </c>
      <c r="J178" s="16" t="str">
        <f t="shared" si="5"/>
        <v>OK</v>
      </c>
      <c r="K178" s="17"/>
    </row>
    <row r="179" spans="1:11" x14ac:dyDescent="0.3">
      <c r="A179" s="6">
        <v>175</v>
      </c>
      <c r="B179" s="7"/>
      <c r="C179" s="7"/>
      <c r="D179" s="8"/>
      <c r="E179" s="8"/>
      <c r="F179" s="8"/>
      <c r="G179" s="8"/>
      <c r="H179" s="8"/>
      <c r="I179" s="9">
        <f t="shared" si="4"/>
        <v>0</v>
      </c>
      <c r="J179" s="10" t="str">
        <f t="shared" si="5"/>
        <v>OK</v>
      </c>
      <c r="K179" s="11"/>
    </row>
    <row r="180" spans="1:11" x14ac:dyDescent="0.3">
      <c r="A180" s="12">
        <v>176</v>
      </c>
      <c r="B180" s="13"/>
      <c r="C180" s="13"/>
      <c r="D180" s="14"/>
      <c r="E180" s="14"/>
      <c r="F180" s="14"/>
      <c r="G180" s="14"/>
      <c r="H180" s="14"/>
      <c r="I180" s="15">
        <f t="shared" si="4"/>
        <v>0</v>
      </c>
      <c r="J180" s="16" t="str">
        <f t="shared" si="5"/>
        <v>OK</v>
      </c>
      <c r="K180" s="17"/>
    </row>
    <row r="181" spans="1:11" x14ac:dyDescent="0.3">
      <c r="A181" s="6">
        <v>177</v>
      </c>
      <c r="B181" s="7"/>
      <c r="C181" s="7"/>
      <c r="D181" s="8"/>
      <c r="E181" s="8"/>
      <c r="F181" s="8"/>
      <c r="G181" s="8"/>
      <c r="H181" s="8"/>
      <c r="I181" s="9">
        <f t="shared" si="4"/>
        <v>0</v>
      </c>
      <c r="J181" s="10" t="str">
        <f t="shared" si="5"/>
        <v>OK</v>
      </c>
      <c r="K181" s="11"/>
    </row>
    <row r="182" spans="1:11" x14ac:dyDescent="0.3">
      <c r="A182" s="12">
        <v>178</v>
      </c>
      <c r="B182" s="13"/>
      <c r="C182" s="13"/>
      <c r="D182" s="14"/>
      <c r="E182" s="14"/>
      <c r="F182" s="14"/>
      <c r="G182" s="14"/>
      <c r="H182" s="14"/>
      <c r="I182" s="15">
        <f t="shared" si="4"/>
        <v>0</v>
      </c>
      <c r="J182" s="16" t="str">
        <f t="shared" si="5"/>
        <v>OK</v>
      </c>
      <c r="K182" s="17"/>
    </row>
    <row r="183" spans="1:11" x14ac:dyDescent="0.3">
      <c r="A183" s="6">
        <v>179</v>
      </c>
      <c r="B183" s="7"/>
      <c r="C183" s="7"/>
      <c r="D183" s="8"/>
      <c r="E183" s="8"/>
      <c r="F183" s="8"/>
      <c r="G183" s="8"/>
      <c r="H183" s="8"/>
      <c r="I183" s="9">
        <f t="shared" ref="I183:I246" si="6">IFERROR(H183-G183,"-")</f>
        <v>0</v>
      </c>
      <c r="J183" s="10" t="str">
        <f t="shared" ref="J183:J246" si="7">IF(OR(I183="-",I183=""),"",IF(I183=0,"OK",IF(I183&gt;0,"Surplus","Kurang")))</f>
        <v>OK</v>
      </c>
      <c r="K183" s="11"/>
    </row>
    <row r="184" spans="1:11" x14ac:dyDescent="0.3">
      <c r="A184" s="12">
        <v>180</v>
      </c>
      <c r="B184" s="13"/>
      <c r="C184" s="13"/>
      <c r="D184" s="14"/>
      <c r="E184" s="14"/>
      <c r="F184" s="14"/>
      <c r="G184" s="14"/>
      <c r="H184" s="14"/>
      <c r="I184" s="15">
        <f t="shared" si="6"/>
        <v>0</v>
      </c>
      <c r="J184" s="16" t="str">
        <f t="shared" si="7"/>
        <v>OK</v>
      </c>
      <c r="K184" s="17"/>
    </row>
    <row r="185" spans="1:11" x14ac:dyDescent="0.3">
      <c r="A185" s="6">
        <v>181</v>
      </c>
      <c r="B185" s="7"/>
      <c r="C185" s="7"/>
      <c r="D185" s="8"/>
      <c r="E185" s="8"/>
      <c r="F185" s="8"/>
      <c r="G185" s="8"/>
      <c r="H185" s="8"/>
      <c r="I185" s="9">
        <f t="shared" si="6"/>
        <v>0</v>
      </c>
      <c r="J185" s="10" t="str">
        <f t="shared" si="7"/>
        <v>OK</v>
      </c>
      <c r="K185" s="11"/>
    </row>
    <row r="186" spans="1:11" x14ac:dyDescent="0.3">
      <c r="A186" s="12">
        <v>182</v>
      </c>
      <c r="B186" s="13"/>
      <c r="C186" s="13"/>
      <c r="D186" s="14"/>
      <c r="E186" s="14"/>
      <c r="F186" s="14"/>
      <c r="G186" s="14"/>
      <c r="H186" s="14"/>
      <c r="I186" s="15">
        <f t="shared" si="6"/>
        <v>0</v>
      </c>
      <c r="J186" s="16" t="str">
        <f t="shared" si="7"/>
        <v>OK</v>
      </c>
      <c r="K186" s="17"/>
    </row>
    <row r="187" spans="1:11" x14ac:dyDescent="0.3">
      <c r="A187" s="6">
        <v>183</v>
      </c>
      <c r="B187" s="7"/>
      <c r="C187" s="7"/>
      <c r="D187" s="8"/>
      <c r="E187" s="8"/>
      <c r="F187" s="8"/>
      <c r="G187" s="8"/>
      <c r="H187" s="8"/>
      <c r="I187" s="9">
        <f t="shared" si="6"/>
        <v>0</v>
      </c>
      <c r="J187" s="10" t="str">
        <f t="shared" si="7"/>
        <v>OK</v>
      </c>
      <c r="K187" s="11"/>
    </row>
    <row r="188" spans="1:11" x14ac:dyDescent="0.3">
      <c r="A188" s="12">
        <v>184</v>
      </c>
      <c r="B188" s="13"/>
      <c r="C188" s="13"/>
      <c r="D188" s="14"/>
      <c r="E188" s="14"/>
      <c r="F188" s="14"/>
      <c r="G188" s="14"/>
      <c r="H188" s="14"/>
      <c r="I188" s="15">
        <f t="shared" si="6"/>
        <v>0</v>
      </c>
      <c r="J188" s="16" t="str">
        <f t="shared" si="7"/>
        <v>OK</v>
      </c>
      <c r="K188" s="17"/>
    </row>
    <row r="189" spans="1:11" x14ac:dyDescent="0.3">
      <c r="A189" s="6">
        <v>185</v>
      </c>
      <c r="B189" s="7"/>
      <c r="C189" s="7"/>
      <c r="D189" s="8"/>
      <c r="E189" s="8"/>
      <c r="F189" s="8"/>
      <c r="G189" s="8"/>
      <c r="H189" s="8"/>
      <c r="I189" s="9">
        <f t="shared" si="6"/>
        <v>0</v>
      </c>
      <c r="J189" s="10" t="str">
        <f t="shared" si="7"/>
        <v>OK</v>
      </c>
      <c r="K189" s="11"/>
    </row>
    <row r="190" spans="1:11" x14ac:dyDescent="0.3">
      <c r="A190" s="12">
        <v>186</v>
      </c>
      <c r="B190" s="13"/>
      <c r="C190" s="13"/>
      <c r="D190" s="14"/>
      <c r="E190" s="14"/>
      <c r="F190" s="14"/>
      <c r="G190" s="14"/>
      <c r="H190" s="14"/>
      <c r="I190" s="15">
        <f t="shared" si="6"/>
        <v>0</v>
      </c>
      <c r="J190" s="16" t="str">
        <f t="shared" si="7"/>
        <v>OK</v>
      </c>
      <c r="K190" s="17"/>
    </row>
    <row r="191" spans="1:11" x14ac:dyDescent="0.3">
      <c r="A191" s="6">
        <v>187</v>
      </c>
      <c r="B191" s="7"/>
      <c r="C191" s="7"/>
      <c r="D191" s="8"/>
      <c r="E191" s="8"/>
      <c r="F191" s="8"/>
      <c r="G191" s="8"/>
      <c r="H191" s="8"/>
      <c r="I191" s="9">
        <f t="shared" si="6"/>
        <v>0</v>
      </c>
      <c r="J191" s="10" t="str">
        <f t="shared" si="7"/>
        <v>OK</v>
      </c>
      <c r="K191" s="11"/>
    </row>
    <row r="192" spans="1:11" x14ac:dyDescent="0.3">
      <c r="A192" s="12">
        <v>188</v>
      </c>
      <c r="B192" s="13"/>
      <c r="C192" s="13"/>
      <c r="D192" s="14"/>
      <c r="E192" s="14"/>
      <c r="F192" s="14"/>
      <c r="G192" s="14"/>
      <c r="H192" s="14"/>
      <c r="I192" s="15">
        <f t="shared" si="6"/>
        <v>0</v>
      </c>
      <c r="J192" s="16" t="str">
        <f t="shared" si="7"/>
        <v>OK</v>
      </c>
      <c r="K192" s="17"/>
    </row>
    <row r="193" spans="1:11" x14ac:dyDescent="0.3">
      <c r="A193" s="6">
        <v>189</v>
      </c>
      <c r="B193" s="7"/>
      <c r="C193" s="7"/>
      <c r="D193" s="8"/>
      <c r="E193" s="8"/>
      <c r="F193" s="8"/>
      <c r="G193" s="8"/>
      <c r="H193" s="8"/>
      <c r="I193" s="9">
        <f t="shared" si="6"/>
        <v>0</v>
      </c>
      <c r="J193" s="10" t="str">
        <f t="shared" si="7"/>
        <v>OK</v>
      </c>
      <c r="K193" s="11"/>
    </row>
    <row r="194" spans="1:11" x14ac:dyDescent="0.3">
      <c r="A194" s="12">
        <v>190</v>
      </c>
      <c r="B194" s="13"/>
      <c r="C194" s="13"/>
      <c r="D194" s="14"/>
      <c r="E194" s="14"/>
      <c r="F194" s="14"/>
      <c r="G194" s="14"/>
      <c r="H194" s="14"/>
      <c r="I194" s="15">
        <f t="shared" si="6"/>
        <v>0</v>
      </c>
      <c r="J194" s="16" t="str">
        <f t="shared" si="7"/>
        <v>OK</v>
      </c>
      <c r="K194" s="17"/>
    </row>
    <row r="195" spans="1:11" x14ac:dyDescent="0.3">
      <c r="A195" s="6">
        <v>191</v>
      </c>
      <c r="B195" s="7"/>
      <c r="C195" s="7"/>
      <c r="D195" s="8"/>
      <c r="E195" s="8"/>
      <c r="F195" s="8"/>
      <c r="G195" s="8"/>
      <c r="H195" s="8"/>
      <c r="I195" s="9">
        <f t="shared" si="6"/>
        <v>0</v>
      </c>
      <c r="J195" s="10" t="str">
        <f t="shared" si="7"/>
        <v>OK</v>
      </c>
      <c r="K195" s="11"/>
    </row>
    <row r="196" spans="1:11" x14ac:dyDescent="0.3">
      <c r="A196" s="12">
        <v>192</v>
      </c>
      <c r="B196" s="13"/>
      <c r="C196" s="13"/>
      <c r="D196" s="14"/>
      <c r="E196" s="14"/>
      <c r="F196" s="14"/>
      <c r="G196" s="14"/>
      <c r="H196" s="14"/>
      <c r="I196" s="15">
        <f t="shared" si="6"/>
        <v>0</v>
      </c>
      <c r="J196" s="16" t="str">
        <f t="shared" si="7"/>
        <v>OK</v>
      </c>
      <c r="K196" s="17"/>
    </row>
    <row r="197" spans="1:11" x14ac:dyDescent="0.3">
      <c r="A197" s="6">
        <v>193</v>
      </c>
      <c r="B197" s="7"/>
      <c r="C197" s="7"/>
      <c r="D197" s="8"/>
      <c r="E197" s="8"/>
      <c r="F197" s="8"/>
      <c r="G197" s="8"/>
      <c r="H197" s="8"/>
      <c r="I197" s="9">
        <f t="shared" si="6"/>
        <v>0</v>
      </c>
      <c r="J197" s="10" t="str">
        <f t="shared" si="7"/>
        <v>OK</v>
      </c>
      <c r="K197" s="11"/>
    </row>
    <row r="198" spans="1:11" x14ac:dyDescent="0.3">
      <c r="A198" s="12">
        <v>194</v>
      </c>
      <c r="B198" s="13"/>
      <c r="C198" s="13"/>
      <c r="D198" s="14"/>
      <c r="E198" s="14"/>
      <c r="F198" s="14"/>
      <c r="G198" s="14"/>
      <c r="H198" s="14"/>
      <c r="I198" s="15">
        <f t="shared" si="6"/>
        <v>0</v>
      </c>
      <c r="J198" s="16" t="str">
        <f t="shared" si="7"/>
        <v>OK</v>
      </c>
      <c r="K198" s="17"/>
    </row>
    <row r="199" spans="1:11" x14ac:dyDescent="0.3">
      <c r="A199" s="6">
        <v>195</v>
      </c>
      <c r="B199" s="7"/>
      <c r="C199" s="7"/>
      <c r="D199" s="8"/>
      <c r="E199" s="8"/>
      <c r="F199" s="8"/>
      <c r="G199" s="8"/>
      <c r="H199" s="8"/>
      <c r="I199" s="9">
        <f t="shared" si="6"/>
        <v>0</v>
      </c>
      <c r="J199" s="10" t="str">
        <f t="shared" si="7"/>
        <v>OK</v>
      </c>
      <c r="K199" s="11"/>
    </row>
    <row r="200" spans="1:11" x14ac:dyDescent="0.3">
      <c r="A200" s="12">
        <v>196</v>
      </c>
      <c r="B200" s="13"/>
      <c r="C200" s="13"/>
      <c r="D200" s="14"/>
      <c r="E200" s="14"/>
      <c r="F200" s="14"/>
      <c r="G200" s="14"/>
      <c r="H200" s="14"/>
      <c r="I200" s="15">
        <f t="shared" si="6"/>
        <v>0</v>
      </c>
      <c r="J200" s="16" t="str">
        <f t="shared" si="7"/>
        <v>OK</v>
      </c>
      <c r="K200" s="17"/>
    </row>
    <row r="201" spans="1:11" x14ac:dyDescent="0.3">
      <c r="A201" s="6">
        <v>197</v>
      </c>
      <c r="B201" s="7"/>
      <c r="C201" s="7"/>
      <c r="D201" s="8"/>
      <c r="E201" s="8"/>
      <c r="F201" s="8"/>
      <c r="G201" s="8"/>
      <c r="H201" s="8"/>
      <c r="I201" s="9">
        <f t="shared" si="6"/>
        <v>0</v>
      </c>
      <c r="J201" s="10" t="str">
        <f t="shared" si="7"/>
        <v>OK</v>
      </c>
      <c r="K201" s="11"/>
    </row>
    <row r="202" spans="1:11" x14ac:dyDescent="0.3">
      <c r="A202" s="12">
        <v>198</v>
      </c>
      <c r="B202" s="13"/>
      <c r="C202" s="13"/>
      <c r="D202" s="14"/>
      <c r="E202" s="14"/>
      <c r="F202" s="14"/>
      <c r="G202" s="14"/>
      <c r="H202" s="14"/>
      <c r="I202" s="15">
        <f t="shared" si="6"/>
        <v>0</v>
      </c>
      <c r="J202" s="16" t="str">
        <f t="shared" si="7"/>
        <v>OK</v>
      </c>
      <c r="K202" s="17"/>
    </row>
    <row r="203" spans="1:11" x14ac:dyDescent="0.3">
      <c r="A203" s="6">
        <v>199</v>
      </c>
      <c r="B203" s="7"/>
      <c r="C203" s="7"/>
      <c r="D203" s="8"/>
      <c r="E203" s="8"/>
      <c r="F203" s="8"/>
      <c r="G203" s="8"/>
      <c r="H203" s="8"/>
      <c r="I203" s="9">
        <f t="shared" si="6"/>
        <v>0</v>
      </c>
      <c r="J203" s="10" t="str">
        <f t="shared" si="7"/>
        <v>OK</v>
      </c>
      <c r="K203" s="11"/>
    </row>
    <row r="204" spans="1:11" x14ac:dyDescent="0.3">
      <c r="A204" s="12">
        <v>200</v>
      </c>
      <c r="B204" s="13"/>
      <c r="C204" s="13"/>
      <c r="D204" s="14"/>
      <c r="E204" s="14"/>
      <c r="F204" s="14"/>
      <c r="G204" s="14"/>
      <c r="H204" s="14"/>
      <c r="I204" s="15">
        <f t="shared" si="6"/>
        <v>0</v>
      </c>
      <c r="J204" s="16" t="str">
        <f t="shared" si="7"/>
        <v>OK</v>
      </c>
      <c r="K204" s="17"/>
    </row>
    <row r="205" spans="1:11" x14ac:dyDescent="0.3">
      <c r="A205" s="6">
        <v>201</v>
      </c>
      <c r="B205" s="7"/>
      <c r="C205" s="7"/>
      <c r="D205" s="8"/>
      <c r="E205" s="8"/>
      <c r="F205" s="8"/>
      <c r="G205" s="8"/>
      <c r="H205" s="8"/>
      <c r="I205" s="9">
        <f t="shared" si="6"/>
        <v>0</v>
      </c>
      <c r="J205" s="10" t="str">
        <f t="shared" si="7"/>
        <v>OK</v>
      </c>
      <c r="K205" s="11"/>
    </row>
    <row r="206" spans="1:11" x14ac:dyDescent="0.3">
      <c r="A206" s="12">
        <v>202</v>
      </c>
      <c r="B206" s="13"/>
      <c r="C206" s="13"/>
      <c r="D206" s="14"/>
      <c r="E206" s="14"/>
      <c r="F206" s="14"/>
      <c r="G206" s="14"/>
      <c r="H206" s="14"/>
      <c r="I206" s="15">
        <f t="shared" si="6"/>
        <v>0</v>
      </c>
      <c r="J206" s="16" t="str">
        <f t="shared" si="7"/>
        <v>OK</v>
      </c>
      <c r="K206" s="17"/>
    </row>
    <row r="207" spans="1:11" x14ac:dyDescent="0.3">
      <c r="A207" s="6">
        <v>203</v>
      </c>
      <c r="B207" s="7"/>
      <c r="C207" s="7"/>
      <c r="D207" s="8"/>
      <c r="E207" s="8"/>
      <c r="F207" s="8"/>
      <c r="G207" s="8"/>
      <c r="H207" s="8"/>
      <c r="I207" s="9">
        <f t="shared" si="6"/>
        <v>0</v>
      </c>
      <c r="J207" s="10" t="str">
        <f t="shared" si="7"/>
        <v>OK</v>
      </c>
      <c r="K207" s="11"/>
    </row>
    <row r="208" spans="1:11" x14ac:dyDescent="0.3">
      <c r="A208" s="12">
        <v>204</v>
      </c>
      <c r="B208" s="13"/>
      <c r="C208" s="13"/>
      <c r="D208" s="14"/>
      <c r="E208" s="14"/>
      <c r="F208" s="14"/>
      <c r="G208" s="14"/>
      <c r="H208" s="14"/>
      <c r="I208" s="15">
        <f t="shared" si="6"/>
        <v>0</v>
      </c>
      <c r="J208" s="16" t="str">
        <f t="shared" si="7"/>
        <v>OK</v>
      </c>
      <c r="K208" s="17"/>
    </row>
    <row r="209" spans="1:11" x14ac:dyDescent="0.3">
      <c r="A209" s="6">
        <v>205</v>
      </c>
      <c r="B209" s="7"/>
      <c r="C209" s="7"/>
      <c r="D209" s="8"/>
      <c r="E209" s="8"/>
      <c r="F209" s="8"/>
      <c r="G209" s="8"/>
      <c r="H209" s="8"/>
      <c r="I209" s="9">
        <f t="shared" si="6"/>
        <v>0</v>
      </c>
      <c r="J209" s="10" t="str">
        <f t="shared" si="7"/>
        <v>OK</v>
      </c>
      <c r="K209" s="11"/>
    </row>
    <row r="210" spans="1:11" x14ac:dyDescent="0.3">
      <c r="A210" s="12">
        <v>206</v>
      </c>
      <c r="B210" s="13"/>
      <c r="C210" s="13"/>
      <c r="D210" s="14"/>
      <c r="E210" s="14"/>
      <c r="F210" s="14"/>
      <c r="G210" s="14"/>
      <c r="H210" s="14"/>
      <c r="I210" s="15">
        <f t="shared" si="6"/>
        <v>0</v>
      </c>
      <c r="J210" s="16" t="str">
        <f t="shared" si="7"/>
        <v>OK</v>
      </c>
      <c r="K210" s="17"/>
    </row>
    <row r="211" spans="1:11" x14ac:dyDescent="0.3">
      <c r="A211" s="6">
        <v>207</v>
      </c>
      <c r="B211" s="7"/>
      <c r="C211" s="7"/>
      <c r="D211" s="8"/>
      <c r="E211" s="8"/>
      <c r="F211" s="8"/>
      <c r="G211" s="8"/>
      <c r="H211" s="8"/>
      <c r="I211" s="9">
        <f t="shared" si="6"/>
        <v>0</v>
      </c>
      <c r="J211" s="10" t="str">
        <f t="shared" si="7"/>
        <v>OK</v>
      </c>
      <c r="K211" s="11"/>
    </row>
    <row r="212" spans="1:11" x14ac:dyDescent="0.3">
      <c r="A212" s="12">
        <v>208</v>
      </c>
      <c r="B212" s="13"/>
      <c r="C212" s="13"/>
      <c r="D212" s="14"/>
      <c r="E212" s="14"/>
      <c r="F212" s="14"/>
      <c r="G212" s="14"/>
      <c r="H212" s="14"/>
      <c r="I212" s="15">
        <f t="shared" si="6"/>
        <v>0</v>
      </c>
      <c r="J212" s="16" t="str">
        <f t="shared" si="7"/>
        <v>OK</v>
      </c>
      <c r="K212" s="17"/>
    </row>
    <row r="213" spans="1:11" x14ac:dyDescent="0.3">
      <c r="A213" s="6">
        <v>209</v>
      </c>
      <c r="B213" s="7"/>
      <c r="C213" s="7"/>
      <c r="D213" s="8"/>
      <c r="E213" s="8"/>
      <c r="F213" s="8"/>
      <c r="G213" s="8"/>
      <c r="H213" s="8"/>
      <c r="I213" s="9">
        <f t="shared" si="6"/>
        <v>0</v>
      </c>
      <c r="J213" s="10" t="str">
        <f t="shared" si="7"/>
        <v>OK</v>
      </c>
      <c r="K213" s="11"/>
    </row>
    <row r="214" spans="1:11" x14ac:dyDescent="0.3">
      <c r="A214" s="12">
        <v>210</v>
      </c>
      <c r="B214" s="13"/>
      <c r="C214" s="13"/>
      <c r="D214" s="14"/>
      <c r="E214" s="14"/>
      <c r="F214" s="14"/>
      <c r="G214" s="14"/>
      <c r="H214" s="14"/>
      <c r="I214" s="15">
        <f t="shared" si="6"/>
        <v>0</v>
      </c>
      <c r="J214" s="16" t="str">
        <f t="shared" si="7"/>
        <v>OK</v>
      </c>
      <c r="K214" s="17"/>
    </row>
    <row r="215" spans="1:11" x14ac:dyDescent="0.3">
      <c r="A215" s="6">
        <v>211</v>
      </c>
      <c r="B215" s="7"/>
      <c r="C215" s="7"/>
      <c r="D215" s="8"/>
      <c r="E215" s="8"/>
      <c r="F215" s="8"/>
      <c r="G215" s="8"/>
      <c r="H215" s="8"/>
      <c r="I215" s="9">
        <f t="shared" si="6"/>
        <v>0</v>
      </c>
      <c r="J215" s="10" t="str">
        <f t="shared" si="7"/>
        <v>OK</v>
      </c>
      <c r="K215" s="11"/>
    </row>
    <row r="216" spans="1:11" x14ac:dyDescent="0.3">
      <c r="A216" s="12">
        <v>212</v>
      </c>
      <c r="B216" s="13"/>
      <c r="C216" s="13"/>
      <c r="D216" s="14"/>
      <c r="E216" s="14"/>
      <c r="F216" s="14"/>
      <c r="G216" s="14"/>
      <c r="H216" s="14"/>
      <c r="I216" s="15">
        <f t="shared" si="6"/>
        <v>0</v>
      </c>
      <c r="J216" s="16" t="str">
        <f t="shared" si="7"/>
        <v>OK</v>
      </c>
      <c r="K216" s="17"/>
    </row>
    <row r="217" spans="1:11" x14ac:dyDescent="0.3">
      <c r="A217" s="6">
        <v>213</v>
      </c>
      <c r="B217" s="7"/>
      <c r="C217" s="7"/>
      <c r="D217" s="8"/>
      <c r="E217" s="8"/>
      <c r="F217" s="8"/>
      <c r="G217" s="8"/>
      <c r="H217" s="8"/>
      <c r="I217" s="9">
        <f t="shared" si="6"/>
        <v>0</v>
      </c>
      <c r="J217" s="10" t="str">
        <f t="shared" si="7"/>
        <v>OK</v>
      </c>
      <c r="K217" s="11"/>
    </row>
    <row r="218" spans="1:11" x14ac:dyDescent="0.3">
      <c r="A218" s="12">
        <v>214</v>
      </c>
      <c r="B218" s="13"/>
      <c r="C218" s="13"/>
      <c r="D218" s="14"/>
      <c r="E218" s="14"/>
      <c r="F218" s="14"/>
      <c r="G218" s="14"/>
      <c r="H218" s="14"/>
      <c r="I218" s="15">
        <f t="shared" si="6"/>
        <v>0</v>
      </c>
      <c r="J218" s="16" t="str">
        <f t="shared" si="7"/>
        <v>OK</v>
      </c>
      <c r="K218" s="17"/>
    </row>
    <row r="219" spans="1:11" x14ac:dyDescent="0.3">
      <c r="A219" s="6">
        <v>215</v>
      </c>
      <c r="B219" s="7"/>
      <c r="C219" s="7"/>
      <c r="D219" s="8"/>
      <c r="E219" s="8"/>
      <c r="F219" s="8"/>
      <c r="G219" s="8"/>
      <c r="H219" s="8"/>
      <c r="I219" s="9">
        <f t="shared" si="6"/>
        <v>0</v>
      </c>
      <c r="J219" s="10" t="str">
        <f t="shared" si="7"/>
        <v>OK</v>
      </c>
      <c r="K219" s="11"/>
    </row>
    <row r="220" spans="1:11" x14ac:dyDescent="0.3">
      <c r="A220" s="12">
        <v>216</v>
      </c>
      <c r="B220" s="13"/>
      <c r="C220" s="13"/>
      <c r="D220" s="14"/>
      <c r="E220" s="14"/>
      <c r="F220" s="14"/>
      <c r="G220" s="14"/>
      <c r="H220" s="14"/>
      <c r="I220" s="15">
        <f t="shared" si="6"/>
        <v>0</v>
      </c>
      <c r="J220" s="16" t="str">
        <f t="shared" si="7"/>
        <v>OK</v>
      </c>
      <c r="K220" s="17"/>
    </row>
    <row r="221" spans="1:11" x14ac:dyDescent="0.3">
      <c r="A221" s="6">
        <v>217</v>
      </c>
      <c r="B221" s="7"/>
      <c r="C221" s="7"/>
      <c r="D221" s="8"/>
      <c r="E221" s="8"/>
      <c r="F221" s="8"/>
      <c r="G221" s="8"/>
      <c r="H221" s="8"/>
      <c r="I221" s="9">
        <f t="shared" si="6"/>
        <v>0</v>
      </c>
      <c r="J221" s="10" t="str">
        <f t="shared" si="7"/>
        <v>OK</v>
      </c>
      <c r="K221" s="11"/>
    </row>
    <row r="222" spans="1:11" x14ac:dyDescent="0.3">
      <c r="A222" s="12">
        <v>218</v>
      </c>
      <c r="B222" s="13"/>
      <c r="C222" s="13"/>
      <c r="D222" s="14"/>
      <c r="E222" s="14"/>
      <c r="F222" s="14"/>
      <c r="G222" s="14"/>
      <c r="H222" s="14"/>
      <c r="I222" s="15">
        <f t="shared" si="6"/>
        <v>0</v>
      </c>
      <c r="J222" s="16" t="str">
        <f t="shared" si="7"/>
        <v>OK</v>
      </c>
      <c r="K222" s="17"/>
    </row>
    <row r="223" spans="1:11" x14ac:dyDescent="0.3">
      <c r="A223" s="6">
        <v>219</v>
      </c>
      <c r="B223" s="7"/>
      <c r="C223" s="7"/>
      <c r="D223" s="8"/>
      <c r="E223" s="8"/>
      <c r="F223" s="8"/>
      <c r="G223" s="8"/>
      <c r="H223" s="8"/>
      <c r="I223" s="9">
        <f t="shared" si="6"/>
        <v>0</v>
      </c>
      <c r="J223" s="10" t="str">
        <f t="shared" si="7"/>
        <v>OK</v>
      </c>
      <c r="K223" s="11"/>
    </row>
    <row r="224" spans="1:11" x14ac:dyDescent="0.3">
      <c r="A224" s="12">
        <v>220</v>
      </c>
      <c r="B224" s="13"/>
      <c r="C224" s="13"/>
      <c r="D224" s="14"/>
      <c r="E224" s="14"/>
      <c r="F224" s="14"/>
      <c r="G224" s="14"/>
      <c r="H224" s="14"/>
      <c r="I224" s="15">
        <f t="shared" si="6"/>
        <v>0</v>
      </c>
      <c r="J224" s="16" t="str">
        <f t="shared" si="7"/>
        <v>OK</v>
      </c>
      <c r="K224" s="17"/>
    </row>
    <row r="225" spans="1:11" x14ac:dyDescent="0.3">
      <c r="A225" s="6">
        <v>221</v>
      </c>
      <c r="B225" s="7"/>
      <c r="C225" s="7"/>
      <c r="D225" s="8"/>
      <c r="E225" s="8"/>
      <c r="F225" s="8"/>
      <c r="G225" s="8"/>
      <c r="H225" s="8"/>
      <c r="I225" s="9">
        <f t="shared" si="6"/>
        <v>0</v>
      </c>
      <c r="J225" s="10" t="str">
        <f t="shared" si="7"/>
        <v>OK</v>
      </c>
      <c r="K225" s="11"/>
    </row>
    <row r="226" spans="1:11" x14ac:dyDescent="0.3">
      <c r="A226" s="12">
        <v>222</v>
      </c>
      <c r="B226" s="13"/>
      <c r="C226" s="13"/>
      <c r="D226" s="14"/>
      <c r="E226" s="14"/>
      <c r="F226" s="14"/>
      <c r="G226" s="14"/>
      <c r="H226" s="14"/>
      <c r="I226" s="15">
        <f t="shared" si="6"/>
        <v>0</v>
      </c>
      <c r="J226" s="16" t="str">
        <f t="shared" si="7"/>
        <v>OK</v>
      </c>
      <c r="K226" s="17"/>
    </row>
    <row r="227" spans="1:11" x14ac:dyDescent="0.3">
      <c r="A227" s="6">
        <v>223</v>
      </c>
      <c r="B227" s="7"/>
      <c r="C227" s="7"/>
      <c r="D227" s="8"/>
      <c r="E227" s="8"/>
      <c r="F227" s="8"/>
      <c r="G227" s="8"/>
      <c r="H227" s="8"/>
      <c r="I227" s="9">
        <f t="shared" si="6"/>
        <v>0</v>
      </c>
      <c r="J227" s="10" t="str">
        <f t="shared" si="7"/>
        <v>OK</v>
      </c>
      <c r="K227" s="11"/>
    </row>
    <row r="228" spans="1:11" x14ac:dyDescent="0.3">
      <c r="A228" s="12">
        <v>224</v>
      </c>
      <c r="B228" s="13"/>
      <c r="C228" s="13"/>
      <c r="D228" s="14"/>
      <c r="E228" s="14"/>
      <c r="F228" s="14"/>
      <c r="G228" s="14"/>
      <c r="H228" s="14"/>
      <c r="I228" s="15">
        <f t="shared" si="6"/>
        <v>0</v>
      </c>
      <c r="J228" s="16" t="str">
        <f t="shared" si="7"/>
        <v>OK</v>
      </c>
      <c r="K228" s="17"/>
    </row>
    <row r="229" spans="1:11" x14ac:dyDescent="0.3">
      <c r="A229" s="6">
        <v>225</v>
      </c>
      <c r="B229" s="7"/>
      <c r="C229" s="7"/>
      <c r="D229" s="8"/>
      <c r="E229" s="8"/>
      <c r="F229" s="8"/>
      <c r="G229" s="8"/>
      <c r="H229" s="8"/>
      <c r="I229" s="9">
        <f t="shared" si="6"/>
        <v>0</v>
      </c>
      <c r="J229" s="10" t="str">
        <f t="shared" si="7"/>
        <v>OK</v>
      </c>
      <c r="K229" s="11"/>
    </row>
    <row r="230" spans="1:11" x14ac:dyDescent="0.3">
      <c r="A230" s="12">
        <v>226</v>
      </c>
      <c r="B230" s="13"/>
      <c r="C230" s="13"/>
      <c r="D230" s="14"/>
      <c r="E230" s="14"/>
      <c r="F230" s="14"/>
      <c r="G230" s="14"/>
      <c r="H230" s="14"/>
      <c r="I230" s="15">
        <f t="shared" si="6"/>
        <v>0</v>
      </c>
      <c r="J230" s="16" t="str">
        <f t="shared" si="7"/>
        <v>OK</v>
      </c>
      <c r="K230" s="17"/>
    </row>
    <row r="231" spans="1:11" x14ac:dyDescent="0.3">
      <c r="A231" s="6">
        <v>227</v>
      </c>
      <c r="B231" s="7"/>
      <c r="C231" s="7"/>
      <c r="D231" s="8"/>
      <c r="E231" s="8"/>
      <c r="F231" s="8"/>
      <c r="G231" s="8"/>
      <c r="H231" s="8"/>
      <c r="I231" s="9">
        <f t="shared" si="6"/>
        <v>0</v>
      </c>
      <c r="J231" s="10" t="str">
        <f t="shared" si="7"/>
        <v>OK</v>
      </c>
      <c r="K231" s="11"/>
    </row>
    <row r="232" spans="1:11" x14ac:dyDescent="0.3">
      <c r="A232" s="12">
        <v>228</v>
      </c>
      <c r="B232" s="13"/>
      <c r="C232" s="13"/>
      <c r="D232" s="14"/>
      <c r="E232" s="14"/>
      <c r="F232" s="14"/>
      <c r="G232" s="14"/>
      <c r="H232" s="14"/>
      <c r="I232" s="15">
        <f t="shared" si="6"/>
        <v>0</v>
      </c>
      <c r="J232" s="16" t="str">
        <f t="shared" si="7"/>
        <v>OK</v>
      </c>
      <c r="K232" s="17"/>
    </row>
    <row r="233" spans="1:11" x14ac:dyDescent="0.3">
      <c r="A233" s="6">
        <v>229</v>
      </c>
      <c r="B233" s="7"/>
      <c r="C233" s="7"/>
      <c r="D233" s="8"/>
      <c r="E233" s="8"/>
      <c r="F233" s="8"/>
      <c r="G233" s="8"/>
      <c r="H233" s="8"/>
      <c r="I233" s="9">
        <f t="shared" si="6"/>
        <v>0</v>
      </c>
      <c r="J233" s="10" t="str">
        <f t="shared" si="7"/>
        <v>OK</v>
      </c>
      <c r="K233" s="11"/>
    </row>
    <row r="234" spans="1:11" x14ac:dyDescent="0.3">
      <c r="A234" s="12">
        <v>230</v>
      </c>
      <c r="B234" s="13"/>
      <c r="C234" s="13"/>
      <c r="D234" s="14"/>
      <c r="E234" s="14"/>
      <c r="F234" s="14"/>
      <c r="G234" s="14"/>
      <c r="H234" s="14"/>
      <c r="I234" s="15">
        <f t="shared" si="6"/>
        <v>0</v>
      </c>
      <c r="J234" s="16" t="str">
        <f t="shared" si="7"/>
        <v>OK</v>
      </c>
      <c r="K234" s="17"/>
    </row>
    <row r="235" spans="1:11" x14ac:dyDescent="0.3">
      <c r="A235" s="6">
        <v>231</v>
      </c>
      <c r="B235" s="7"/>
      <c r="C235" s="7"/>
      <c r="D235" s="8"/>
      <c r="E235" s="8"/>
      <c r="F235" s="8"/>
      <c r="G235" s="8"/>
      <c r="H235" s="8"/>
      <c r="I235" s="9">
        <f t="shared" si="6"/>
        <v>0</v>
      </c>
      <c r="J235" s="10" t="str">
        <f t="shared" si="7"/>
        <v>OK</v>
      </c>
      <c r="K235" s="11"/>
    </row>
    <row r="236" spans="1:11" x14ac:dyDescent="0.3">
      <c r="A236" s="12">
        <v>232</v>
      </c>
      <c r="B236" s="13"/>
      <c r="C236" s="13"/>
      <c r="D236" s="14"/>
      <c r="E236" s="14"/>
      <c r="F236" s="14"/>
      <c r="G236" s="14"/>
      <c r="H236" s="14"/>
      <c r="I236" s="15">
        <f t="shared" si="6"/>
        <v>0</v>
      </c>
      <c r="J236" s="16" t="str">
        <f t="shared" si="7"/>
        <v>OK</v>
      </c>
      <c r="K236" s="17"/>
    </row>
    <row r="237" spans="1:11" x14ac:dyDescent="0.3">
      <c r="A237" s="6">
        <v>233</v>
      </c>
      <c r="B237" s="7"/>
      <c r="C237" s="7"/>
      <c r="D237" s="8"/>
      <c r="E237" s="8"/>
      <c r="F237" s="8"/>
      <c r="G237" s="8"/>
      <c r="H237" s="8"/>
      <c r="I237" s="9">
        <f t="shared" si="6"/>
        <v>0</v>
      </c>
      <c r="J237" s="10" t="str">
        <f t="shared" si="7"/>
        <v>OK</v>
      </c>
      <c r="K237" s="11"/>
    </row>
    <row r="238" spans="1:11" x14ac:dyDescent="0.3">
      <c r="A238" s="12">
        <v>234</v>
      </c>
      <c r="B238" s="13"/>
      <c r="C238" s="13"/>
      <c r="D238" s="14"/>
      <c r="E238" s="14"/>
      <c r="F238" s="14"/>
      <c r="G238" s="14"/>
      <c r="H238" s="14"/>
      <c r="I238" s="15">
        <f t="shared" si="6"/>
        <v>0</v>
      </c>
      <c r="J238" s="16" t="str">
        <f t="shared" si="7"/>
        <v>OK</v>
      </c>
      <c r="K238" s="17"/>
    </row>
    <row r="239" spans="1:11" x14ac:dyDescent="0.3">
      <c r="A239" s="6">
        <v>235</v>
      </c>
      <c r="B239" s="7"/>
      <c r="C239" s="7"/>
      <c r="D239" s="8"/>
      <c r="E239" s="8"/>
      <c r="F239" s="8"/>
      <c r="G239" s="8"/>
      <c r="H239" s="8"/>
      <c r="I239" s="9">
        <f t="shared" si="6"/>
        <v>0</v>
      </c>
      <c r="J239" s="10" t="str">
        <f t="shared" si="7"/>
        <v>OK</v>
      </c>
      <c r="K239" s="11"/>
    </row>
    <row r="240" spans="1:11" x14ac:dyDescent="0.3">
      <c r="A240" s="12">
        <v>236</v>
      </c>
      <c r="B240" s="13"/>
      <c r="C240" s="13"/>
      <c r="D240" s="14"/>
      <c r="E240" s="14"/>
      <c r="F240" s="14"/>
      <c r="G240" s="14"/>
      <c r="H240" s="14"/>
      <c r="I240" s="15">
        <f t="shared" si="6"/>
        <v>0</v>
      </c>
      <c r="J240" s="16" t="str">
        <f t="shared" si="7"/>
        <v>OK</v>
      </c>
      <c r="K240" s="17"/>
    </row>
    <row r="241" spans="1:11" x14ac:dyDescent="0.3">
      <c r="A241" s="6">
        <v>237</v>
      </c>
      <c r="B241" s="7"/>
      <c r="C241" s="7"/>
      <c r="D241" s="8"/>
      <c r="E241" s="8"/>
      <c r="F241" s="8"/>
      <c r="G241" s="8"/>
      <c r="H241" s="8"/>
      <c r="I241" s="9">
        <f t="shared" si="6"/>
        <v>0</v>
      </c>
      <c r="J241" s="10" t="str">
        <f t="shared" si="7"/>
        <v>OK</v>
      </c>
      <c r="K241" s="11"/>
    </row>
    <row r="242" spans="1:11" x14ac:dyDescent="0.3">
      <c r="A242" s="12">
        <v>238</v>
      </c>
      <c r="B242" s="13"/>
      <c r="C242" s="13"/>
      <c r="D242" s="14"/>
      <c r="E242" s="14"/>
      <c r="F242" s="14"/>
      <c r="G242" s="14"/>
      <c r="H242" s="14"/>
      <c r="I242" s="15">
        <f t="shared" si="6"/>
        <v>0</v>
      </c>
      <c r="J242" s="16" t="str">
        <f t="shared" si="7"/>
        <v>OK</v>
      </c>
      <c r="K242" s="17"/>
    </row>
    <row r="243" spans="1:11" x14ac:dyDescent="0.3">
      <c r="A243" s="6">
        <v>239</v>
      </c>
      <c r="B243" s="7"/>
      <c r="C243" s="7"/>
      <c r="D243" s="8"/>
      <c r="E243" s="8"/>
      <c r="F243" s="8"/>
      <c r="G243" s="8"/>
      <c r="H243" s="8"/>
      <c r="I243" s="9">
        <f t="shared" si="6"/>
        <v>0</v>
      </c>
      <c r="J243" s="10" t="str">
        <f t="shared" si="7"/>
        <v>OK</v>
      </c>
      <c r="K243" s="11"/>
    </row>
    <row r="244" spans="1:11" x14ac:dyDescent="0.3">
      <c r="A244" s="12">
        <v>240</v>
      </c>
      <c r="B244" s="13"/>
      <c r="C244" s="13"/>
      <c r="D244" s="14"/>
      <c r="E244" s="14"/>
      <c r="F244" s="14"/>
      <c r="G244" s="14"/>
      <c r="H244" s="14"/>
      <c r="I244" s="15">
        <f t="shared" si="6"/>
        <v>0</v>
      </c>
      <c r="J244" s="16" t="str">
        <f t="shared" si="7"/>
        <v>OK</v>
      </c>
      <c r="K244" s="17"/>
    </row>
    <row r="245" spans="1:11" x14ac:dyDescent="0.3">
      <c r="A245" s="6">
        <v>241</v>
      </c>
      <c r="B245" s="7"/>
      <c r="C245" s="7"/>
      <c r="D245" s="8"/>
      <c r="E245" s="8"/>
      <c r="F245" s="8"/>
      <c r="G245" s="8"/>
      <c r="H245" s="8"/>
      <c r="I245" s="9">
        <f t="shared" si="6"/>
        <v>0</v>
      </c>
      <c r="J245" s="10" t="str">
        <f t="shared" si="7"/>
        <v>OK</v>
      </c>
      <c r="K245" s="11"/>
    </row>
    <row r="246" spans="1:11" x14ac:dyDescent="0.3">
      <c r="A246" s="12">
        <v>242</v>
      </c>
      <c r="B246" s="13"/>
      <c r="C246" s="13"/>
      <c r="D246" s="14"/>
      <c r="E246" s="14"/>
      <c r="F246" s="14"/>
      <c r="G246" s="14"/>
      <c r="H246" s="14"/>
      <c r="I246" s="15">
        <f t="shared" si="6"/>
        <v>0</v>
      </c>
      <c r="J246" s="16" t="str">
        <f t="shared" si="7"/>
        <v>OK</v>
      </c>
      <c r="K246" s="17"/>
    </row>
    <row r="247" spans="1:11" x14ac:dyDescent="0.3">
      <c r="A247" s="6">
        <v>243</v>
      </c>
      <c r="B247" s="7"/>
      <c r="C247" s="7"/>
      <c r="D247" s="8"/>
      <c r="E247" s="8"/>
      <c r="F247" s="8"/>
      <c r="G247" s="8"/>
      <c r="H247" s="8"/>
      <c r="I247" s="9">
        <f t="shared" ref="I247:I310" si="8">IFERROR(H247-G247,"-")</f>
        <v>0</v>
      </c>
      <c r="J247" s="10" t="str">
        <f t="shared" ref="J247:J310" si="9">IF(OR(I247="-",I247=""),"",IF(I247=0,"OK",IF(I247&gt;0,"Surplus","Kurang")))</f>
        <v>OK</v>
      </c>
      <c r="K247" s="11"/>
    </row>
    <row r="248" spans="1:11" x14ac:dyDescent="0.3">
      <c r="A248" s="12">
        <v>244</v>
      </c>
      <c r="B248" s="13"/>
      <c r="C248" s="13"/>
      <c r="D248" s="14"/>
      <c r="E248" s="14"/>
      <c r="F248" s="14"/>
      <c r="G248" s="14"/>
      <c r="H248" s="14"/>
      <c r="I248" s="15">
        <f t="shared" si="8"/>
        <v>0</v>
      </c>
      <c r="J248" s="16" t="str">
        <f t="shared" si="9"/>
        <v>OK</v>
      </c>
      <c r="K248" s="17"/>
    </row>
    <row r="249" spans="1:11" x14ac:dyDescent="0.3">
      <c r="A249" s="6">
        <v>245</v>
      </c>
      <c r="B249" s="7"/>
      <c r="C249" s="7"/>
      <c r="D249" s="8"/>
      <c r="E249" s="8"/>
      <c r="F249" s="8"/>
      <c r="G249" s="8"/>
      <c r="H249" s="8"/>
      <c r="I249" s="9">
        <f t="shared" si="8"/>
        <v>0</v>
      </c>
      <c r="J249" s="10" t="str">
        <f t="shared" si="9"/>
        <v>OK</v>
      </c>
      <c r="K249" s="11"/>
    </row>
    <row r="250" spans="1:11" x14ac:dyDescent="0.3">
      <c r="A250" s="12">
        <v>246</v>
      </c>
      <c r="B250" s="13"/>
      <c r="C250" s="13"/>
      <c r="D250" s="14"/>
      <c r="E250" s="14"/>
      <c r="F250" s="14"/>
      <c r="G250" s="14"/>
      <c r="H250" s="14"/>
      <c r="I250" s="15">
        <f t="shared" si="8"/>
        <v>0</v>
      </c>
      <c r="J250" s="16" t="str">
        <f t="shared" si="9"/>
        <v>OK</v>
      </c>
      <c r="K250" s="17"/>
    </row>
    <row r="251" spans="1:11" x14ac:dyDescent="0.3">
      <c r="A251" s="6">
        <v>247</v>
      </c>
      <c r="B251" s="7"/>
      <c r="C251" s="7"/>
      <c r="D251" s="8"/>
      <c r="E251" s="8"/>
      <c r="F251" s="8"/>
      <c r="G251" s="8"/>
      <c r="H251" s="8"/>
      <c r="I251" s="9">
        <f t="shared" si="8"/>
        <v>0</v>
      </c>
      <c r="J251" s="10" t="str">
        <f t="shared" si="9"/>
        <v>OK</v>
      </c>
      <c r="K251" s="11"/>
    </row>
    <row r="252" spans="1:11" x14ac:dyDescent="0.3">
      <c r="A252" s="12">
        <v>248</v>
      </c>
      <c r="B252" s="13"/>
      <c r="C252" s="13"/>
      <c r="D252" s="14"/>
      <c r="E252" s="14"/>
      <c r="F252" s="14"/>
      <c r="G252" s="14"/>
      <c r="H252" s="14"/>
      <c r="I252" s="15">
        <f t="shared" si="8"/>
        <v>0</v>
      </c>
      <c r="J252" s="16" t="str">
        <f t="shared" si="9"/>
        <v>OK</v>
      </c>
      <c r="K252" s="17"/>
    </row>
    <row r="253" spans="1:11" x14ac:dyDescent="0.3">
      <c r="A253" s="6">
        <v>249</v>
      </c>
      <c r="B253" s="7"/>
      <c r="C253" s="7"/>
      <c r="D253" s="8"/>
      <c r="E253" s="8"/>
      <c r="F253" s="8"/>
      <c r="G253" s="8"/>
      <c r="H253" s="8"/>
      <c r="I253" s="9">
        <f t="shared" si="8"/>
        <v>0</v>
      </c>
      <c r="J253" s="10" t="str">
        <f t="shared" si="9"/>
        <v>OK</v>
      </c>
      <c r="K253" s="11"/>
    </row>
    <row r="254" spans="1:11" x14ac:dyDescent="0.3">
      <c r="A254" s="12">
        <v>250</v>
      </c>
      <c r="B254" s="13"/>
      <c r="C254" s="13"/>
      <c r="D254" s="14"/>
      <c r="E254" s="14"/>
      <c r="F254" s="14"/>
      <c r="G254" s="14"/>
      <c r="H254" s="14"/>
      <c r="I254" s="15">
        <f t="shared" si="8"/>
        <v>0</v>
      </c>
      <c r="J254" s="16" t="str">
        <f t="shared" si="9"/>
        <v>OK</v>
      </c>
      <c r="K254" s="17"/>
    </row>
    <row r="255" spans="1:11" x14ac:dyDescent="0.3">
      <c r="A255" s="6">
        <v>251</v>
      </c>
      <c r="B255" s="7"/>
      <c r="C255" s="7"/>
      <c r="D255" s="8"/>
      <c r="E255" s="8"/>
      <c r="F255" s="8"/>
      <c r="G255" s="8"/>
      <c r="H255" s="8"/>
      <c r="I255" s="9">
        <f t="shared" si="8"/>
        <v>0</v>
      </c>
      <c r="J255" s="10" t="str">
        <f t="shared" si="9"/>
        <v>OK</v>
      </c>
      <c r="K255" s="11"/>
    </row>
    <row r="256" spans="1:11" x14ac:dyDescent="0.3">
      <c r="A256" s="12">
        <v>252</v>
      </c>
      <c r="B256" s="13"/>
      <c r="C256" s="13"/>
      <c r="D256" s="14"/>
      <c r="E256" s="14"/>
      <c r="F256" s="14"/>
      <c r="G256" s="14"/>
      <c r="H256" s="14"/>
      <c r="I256" s="15">
        <f t="shared" si="8"/>
        <v>0</v>
      </c>
      <c r="J256" s="16" t="str">
        <f t="shared" si="9"/>
        <v>OK</v>
      </c>
      <c r="K256" s="17"/>
    </row>
    <row r="257" spans="1:11" x14ac:dyDescent="0.3">
      <c r="A257" s="6">
        <v>253</v>
      </c>
      <c r="B257" s="7"/>
      <c r="C257" s="7"/>
      <c r="D257" s="8"/>
      <c r="E257" s="8"/>
      <c r="F257" s="8"/>
      <c r="G257" s="8"/>
      <c r="H257" s="8"/>
      <c r="I257" s="9">
        <f t="shared" si="8"/>
        <v>0</v>
      </c>
      <c r="J257" s="10" t="str">
        <f t="shared" si="9"/>
        <v>OK</v>
      </c>
      <c r="K257" s="11"/>
    </row>
    <row r="258" spans="1:11" x14ac:dyDescent="0.3">
      <c r="A258" s="12">
        <v>254</v>
      </c>
      <c r="B258" s="13"/>
      <c r="C258" s="13"/>
      <c r="D258" s="14"/>
      <c r="E258" s="14"/>
      <c r="F258" s="14"/>
      <c r="G258" s="14"/>
      <c r="H258" s="14"/>
      <c r="I258" s="15">
        <f t="shared" si="8"/>
        <v>0</v>
      </c>
      <c r="J258" s="16" t="str">
        <f t="shared" si="9"/>
        <v>OK</v>
      </c>
      <c r="K258" s="17"/>
    </row>
    <row r="259" spans="1:11" x14ac:dyDescent="0.3">
      <c r="A259" s="6">
        <v>255</v>
      </c>
      <c r="B259" s="7"/>
      <c r="C259" s="7"/>
      <c r="D259" s="8"/>
      <c r="E259" s="8"/>
      <c r="F259" s="8"/>
      <c r="G259" s="8"/>
      <c r="H259" s="8"/>
      <c r="I259" s="9">
        <f t="shared" si="8"/>
        <v>0</v>
      </c>
      <c r="J259" s="10" t="str">
        <f t="shared" si="9"/>
        <v>OK</v>
      </c>
      <c r="K259" s="11"/>
    </row>
    <row r="260" spans="1:11" x14ac:dyDescent="0.3">
      <c r="A260" s="12">
        <v>256</v>
      </c>
      <c r="B260" s="13"/>
      <c r="C260" s="13"/>
      <c r="D260" s="14"/>
      <c r="E260" s="14"/>
      <c r="F260" s="14"/>
      <c r="G260" s="14"/>
      <c r="H260" s="14"/>
      <c r="I260" s="15">
        <f t="shared" si="8"/>
        <v>0</v>
      </c>
      <c r="J260" s="16" t="str">
        <f t="shared" si="9"/>
        <v>OK</v>
      </c>
      <c r="K260" s="17"/>
    </row>
    <row r="261" spans="1:11" x14ac:dyDescent="0.3">
      <c r="A261" s="6">
        <v>257</v>
      </c>
      <c r="B261" s="7"/>
      <c r="C261" s="7"/>
      <c r="D261" s="8"/>
      <c r="E261" s="8"/>
      <c r="F261" s="8"/>
      <c r="G261" s="8"/>
      <c r="H261" s="8"/>
      <c r="I261" s="9">
        <f t="shared" si="8"/>
        <v>0</v>
      </c>
      <c r="J261" s="10" t="str">
        <f t="shared" si="9"/>
        <v>OK</v>
      </c>
      <c r="K261" s="11"/>
    </row>
    <row r="262" spans="1:11" x14ac:dyDescent="0.3">
      <c r="A262" s="12">
        <v>258</v>
      </c>
      <c r="B262" s="13"/>
      <c r="C262" s="13"/>
      <c r="D262" s="14"/>
      <c r="E262" s="14"/>
      <c r="F262" s="14"/>
      <c r="G262" s="14"/>
      <c r="H262" s="14"/>
      <c r="I262" s="15">
        <f t="shared" si="8"/>
        <v>0</v>
      </c>
      <c r="J262" s="16" t="str">
        <f t="shared" si="9"/>
        <v>OK</v>
      </c>
      <c r="K262" s="17"/>
    </row>
    <row r="263" spans="1:11" x14ac:dyDescent="0.3">
      <c r="A263" s="6">
        <v>259</v>
      </c>
      <c r="B263" s="7"/>
      <c r="C263" s="7"/>
      <c r="D263" s="8"/>
      <c r="E263" s="8"/>
      <c r="F263" s="8"/>
      <c r="G263" s="8"/>
      <c r="H263" s="8"/>
      <c r="I263" s="9">
        <f t="shared" si="8"/>
        <v>0</v>
      </c>
      <c r="J263" s="10" t="str">
        <f t="shared" si="9"/>
        <v>OK</v>
      </c>
      <c r="K263" s="11"/>
    </row>
    <row r="264" spans="1:11" x14ac:dyDescent="0.3">
      <c r="A264" s="12">
        <v>260</v>
      </c>
      <c r="B264" s="13"/>
      <c r="C264" s="13"/>
      <c r="D264" s="14"/>
      <c r="E264" s="14"/>
      <c r="F264" s="14"/>
      <c r="G264" s="14"/>
      <c r="H264" s="14"/>
      <c r="I264" s="15">
        <f t="shared" si="8"/>
        <v>0</v>
      </c>
      <c r="J264" s="16" t="str">
        <f t="shared" si="9"/>
        <v>OK</v>
      </c>
      <c r="K264" s="17"/>
    </row>
    <row r="265" spans="1:11" x14ac:dyDescent="0.3">
      <c r="A265" s="6">
        <v>261</v>
      </c>
      <c r="B265" s="7"/>
      <c r="C265" s="7"/>
      <c r="D265" s="8"/>
      <c r="E265" s="8"/>
      <c r="F265" s="8"/>
      <c r="G265" s="8"/>
      <c r="H265" s="8"/>
      <c r="I265" s="9">
        <f t="shared" si="8"/>
        <v>0</v>
      </c>
      <c r="J265" s="10" t="str">
        <f t="shared" si="9"/>
        <v>OK</v>
      </c>
      <c r="K265" s="11"/>
    </row>
    <row r="266" spans="1:11" x14ac:dyDescent="0.3">
      <c r="A266" s="12">
        <v>262</v>
      </c>
      <c r="B266" s="13"/>
      <c r="C266" s="13"/>
      <c r="D266" s="14"/>
      <c r="E266" s="14"/>
      <c r="F266" s="14"/>
      <c r="G266" s="14"/>
      <c r="H266" s="14"/>
      <c r="I266" s="15">
        <f t="shared" si="8"/>
        <v>0</v>
      </c>
      <c r="J266" s="16" t="str">
        <f t="shared" si="9"/>
        <v>OK</v>
      </c>
      <c r="K266" s="17"/>
    </row>
    <row r="267" spans="1:11" x14ac:dyDescent="0.3">
      <c r="A267" s="6">
        <v>263</v>
      </c>
      <c r="B267" s="7"/>
      <c r="C267" s="7"/>
      <c r="D267" s="8"/>
      <c r="E267" s="8"/>
      <c r="F267" s="8"/>
      <c r="G267" s="8"/>
      <c r="H267" s="8"/>
      <c r="I267" s="9">
        <f t="shared" si="8"/>
        <v>0</v>
      </c>
      <c r="J267" s="10" t="str">
        <f t="shared" si="9"/>
        <v>OK</v>
      </c>
      <c r="K267" s="11"/>
    </row>
    <row r="268" spans="1:11" x14ac:dyDescent="0.3">
      <c r="A268" s="12">
        <v>264</v>
      </c>
      <c r="B268" s="13"/>
      <c r="C268" s="13"/>
      <c r="D268" s="14"/>
      <c r="E268" s="14"/>
      <c r="F268" s="14"/>
      <c r="G268" s="14"/>
      <c r="H268" s="14"/>
      <c r="I268" s="15">
        <f t="shared" si="8"/>
        <v>0</v>
      </c>
      <c r="J268" s="16" t="str">
        <f t="shared" si="9"/>
        <v>OK</v>
      </c>
      <c r="K268" s="17"/>
    </row>
    <row r="269" spans="1:11" x14ac:dyDescent="0.3">
      <c r="A269" s="6">
        <v>265</v>
      </c>
      <c r="B269" s="7"/>
      <c r="C269" s="7"/>
      <c r="D269" s="8"/>
      <c r="E269" s="8"/>
      <c r="F269" s="8"/>
      <c r="G269" s="8"/>
      <c r="H269" s="8"/>
      <c r="I269" s="9">
        <f t="shared" si="8"/>
        <v>0</v>
      </c>
      <c r="J269" s="10" t="str">
        <f t="shared" si="9"/>
        <v>OK</v>
      </c>
      <c r="K269" s="11"/>
    </row>
    <row r="270" spans="1:11" x14ac:dyDescent="0.3">
      <c r="A270" s="12">
        <v>266</v>
      </c>
      <c r="B270" s="13"/>
      <c r="C270" s="13"/>
      <c r="D270" s="14"/>
      <c r="E270" s="14"/>
      <c r="F270" s="14"/>
      <c r="G270" s="14"/>
      <c r="H270" s="14"/>
      <c r="I270" s="15">
        <f t="shared" si="8"/>
        <v>0</v>
      </c>
      <c r="J270" s="16" t="str">
        <f t="shared" si="9"/>
        <v>OK</v>
      </c>
      <c r="K270" s="17"/>
    </row>
    <row r="271" spans="1:11" x14ac:dyDescent="0.3">
      <c r="A271" s="6">
        <v>267</v>
      </c>
      <c r="B271" s="7"/>
      <c r="C271" s="7"/>
      <c r="D271" s="8"/>
      <c r="E271" s="8"/>
      <c r="F271" s="8"/>
      <c r="G271" s="8"/>
      <c r="H271" s="8"/>
      <c r="I271" s="9">
        <f t="shared" si="8"/>
        <v>0</v>
      </c>
      <c r="J271" s="10" t="str">
        <f t="shared" si="9"/>
        <v>OK</v>
      </c>
      <c r="K271" s="11"/>
    </row>
    <row r="272" spans="1:11" x14ac:dyDescent="0.3">
      <c r="A272" s="12">
        <v>268</v>
      </c>
      <c r="B272" s="13"/>
      <c r="C272" s="13"/>
      <c r="D272" s="14"/>
      <c r="E272" s="14"/>
      <c r="F272" s="14"/>
      <c r="G272" s="14"/>
      <c r="H272" s="14"/>
      <c r="I272" s="15">
        <f t="shared" si="8"/>
        <v>0</v>
      </c>
      <c r="J272" s="16" t="str">
        <f t="shared" si="9"/>
        <v>OK</v>
      </c>
      <c r="K272" s="17"/>
    </row>
    <row r="273" spans="1:11" x14ac:dyDescent="0.3">
      <c r="A273" s="6">
        <v>269</v>
      </c>
      <c r="B273" s="7"/>
      <c r="C273" s="7"/>
      <c r="D273" s="8"/>
      <c r="E273" s="8"/>
      <c r="F273" s="8"/>
      <c r="G273" s="8"/>
      <c r="H273" s="8"/>
      <c r="I273" s="9">
        <f t="shared" si="8"/>
        <v>0</v>
      </c>
      <c r="J273" s="10" t="str">
        <f t="shared" si="9"/>
        <v>OK</v>
      </c>
      <c r="K273" s="11"/>
    </row>
    <row r="274" spans="1:11" x14ac:dyDescent="0.3">
      <c r="A274" s="12">
        <v>270</v>
      </c>
      <c r="B274" s="13"/>
      <c r="C274" s="13"/>
      <c r="D274" s="14"/>
      <c r="E274" s="14"/>
      <c r="F274" s="14"/>
      <c r="G274" s="14"/>
      <c r="H274" s="14"/>
      <c r="I274" s="15">
        <f t="shared" si="8"/>
        <v>0</v>
      </c>
      <c r="J274" s="16" t="str">
        <f t="shared" si="9"/>
        <v>OK</v>
      </c>
      <c r="K274" s="17"/>
    </row>
    <row r="275" spans="1:11" x14ac:dyDescent="0.3">
      <c r="A275" s="6">
        <v>271</v>
      </c>
      <c r="B275" s="7"/>
      <c r="C275" s="7"/>
      <c r="D275" s="8"/>
      <c r="E275" s="8"/>
      <c r="F275" s="8"/>
      <c r="G275" s="8"/>
      <c r="H275" s="8"/>
      <c r="I275" s="9">
        <f t="shared" si="8"/>
        <v>0</v>
      </c>
      <c r="J275" s="10" t="str">
        <f t="shared" si="9"/>
        <v>OK</v>
      </c>
      <c r="K275" s="11"/>
    </row>
    <row r="276" spans="1:11" x14ac:dyDescent="0.3">
      <c r="A276" s="12">
        <v>272</v>
      </c>
      <c r="B276" s="13"/>
      <c r="C276" s="13"/>
      <c r="D276" s="14"/>
      <c r="E276" s="14"/>
      <c r="F276" s="14"/>
      <c r="G276" s="14"/>
      <c r="H276" s="14"/>
      <c r="I276" s="15">
        <f t="shared" si="8"/>
        <v>0</v>
      </c>
      <c r="J276" s="16" t="str">
        <f t="shared" si="9"/>
        <v>OK</v>
      </c>
      <c r="K276" s="17"/>
    </row>
    <row r="277" spans="1:11" x14ac:dyDescent="0.3">
      <c r="A277" s="6">
        <v>273</v>
      </c>
      <c r="B277" s="7"/>
      <c r="C277" s="7"/>
      <c r="D277" s="8"/>
      <c r="E277" s="8"/>
      <c r="F277" s="8"/>
      <c r="G277" s="8"/>
      <c r="H277" s="8"/>
      <c r="I277" s="9">
        <f t="shared" si="8"/>
        <v>0</v>
      </c>
      <c r="J277" s="10" t="str">
        <f t="shared" si="9"/>
        <v>OK</v>
      </c>
      <c r="K277" s="11"/>
    </row>
    <row r="278" spans="1:11" x14ac:dyDescent="0.3">
      <c r="A278" s="12">
        <v>274</v>
      </c>
      <c r="B278" s="13"/>
      <c r="C278" s="13"/>
      <c r="D278" s="14"/>
      <c r="E278" s="14"/>
      <c r="F278" s="14"/>
      <c r="G278" s="14"/>
      <c r="H278" s="14"/>
      <c r="I278" s="15">
        <f t="shared" si="8"/>
        <v>0</v>
      </c>
      <c r="J278" s="16" t="str">
        <f t="shared" si="9"/>
        <v>OK</v>
      </c>
      <c r="K278" s="17"/>
    </row>
    <row r="279" spans="1:11" x14ac:dyDescent="0.3">
      <c r="A279" s="6">
        <v>275</v>
      </c>
      <c r="B279" s="7"/>
      <c r="C279" s="7"/>
      <c r="D279" s="8"/>
      <c r="E279" s="8"/>
      <c r="F279" s="8"/>
      <c r="G279" s="8"/>
      <c r="H279" s="8"/>
      <c r="I279" s="9">
        <f t="shared" si="8"/>
        <v>0</v>
      </c>
      <c r="J279" s="10" t="str">
        <f t="shared" si="9"/>
        <v>OK</v>
      </c>
      <c r="K279" s="11"/>
    </row>
    <row r="280" spans="1:11" x14ac:dyDescent="0.3">
      <c r="A280" s="12">
        <v>276</v>
      </c>
      <c r="B280" s="13"/>
      <c r="C280" s="13"/>
      <c r="D280" s="14"/>
      <c r="E280" s="14"/>
      <c r="F280" s="14"/>
      <c r="G280" s="14"/>
      <c r="H280" s="14"/>
      <c r="I280" s="15">
        <f t="shared" si="8"/>
        <v>0</v>
      </c>
      <c r="J280" s="16" t="str">
        <f t="shared" si="9"/>
        <v>OK</v>
      </c>
      <c r="K280" s="17"/>
    </row>
    <row r="281" spans="1:11" x14ac:dyDescent="0.3">
      <c r="A281" s="6">
        <v>277</v>
      </c>
      <c r="B281" s="7"/>
      <c r="C281" s="7"/>
      <c r="D281" s="8"/>
      <c r="E281" s="8"/>
      <c r="F281" s="8"/>
      <c r="G281" s="8"/>
      <c r="H281" s="8"/>
      <c r="I281" s="9">
        <f t="shared" si="8"/>
        <v>0</v>
      </c>
      <c r="J281" s="10" t="str">
        <f t="shared" si="9"/>
        <v>OK</v>
      </c>
      <c r="K281" s="11"/>
    </row>
    <row r="282" spans="1:11" x14ac:dyDescent="0.3">
      <c r="A282" s="12">
        <v>278</v>
      </c>
      <c r="B282" s="13"/>
      <c r="C282" s="13"/>
      <c r="D282" s="14"/>
      <c r="E282" s="14"/>
      <c r="F282" s="14"/>
      <c r="G282" s="14"/>
      <c r="H282" s="14"/>
      <c r="I282" s="15">
        <f t="shared" si="8"/>
        <v>0</v>
      </c>
      <c r="J282" s="16" t="str">
        <f t="shared" si="9"/>
        <v>OK</v>
      </c>
      <c r="K282" s="17"/>
    </row>
    <row r="283" spans="1:11" x14ac:dyDescent="0.3">
      <c r="A283" s="6">
        <v>279</v>
      </c>
      <c r="B283" s="7"/>
      <c r="C283" s="7"/>
      <c r="D283" s="8"/>
      <c r="E283" s="8"/>
      <c r="F283" s="8"/>
      <c r="G283" s="8"/>
      <c r="H283" s="8"/>
      <c r="I283" s="9">
        <f t="shared" si="8"/>
        <v>0</v>
      </c>
      <c r="J283" s="10" t="str">
        <f t="shared" si="9"/>
        <v>OK</v>
      </c>
      <c r="K283" s="11"/>
    </row>
    <row r="284" spans="1:11" x14ac:dyDescent="0.3">
      <c r="A284" s="12">
        <v>280</v>
      </c>
      <c r="B284" s="13"/>
      <c r="C284" s="13"/>
      <c r="D284" s="14"/>
      <c r="E284" s="14"/>
      <c r="F284" s="14"/>
      <c r="G284" s="14"/>
      <c r="H284" s="14"/>
      <c r="I284" s="15">
        <f t="shared" si="8"/>
        <v>0</v>
      </c>
      <c r="J284" s="16" t="str">
        <f t="shared" si="9"/>
        <v>OK</v>
      </c>
      <c r="K284" s="17"/>
    </row>
    <row r="285" spans="1:11" x14ac:dyDescent="0.3">
      <c r="A285" s="6">
        <v>281</v>
      </c>
      <c r="B285" s="7"/>
      <c r="C285" s="7"/>
      <c r="D285" s="8"/>
      <c r="E285" s="8"/>
      <c r="F285" s="8"/>
      <c r="G285" s="8"/>
      <c r="H285" s="8"/>
      <c r="I285" s="9">
        <f t="shared" si="8"/>
        <v>0</v>
      </c>
      <c r="J285" s="10" t="str">
        <f t="shared" si="9"/>
        <v>OK</v>
      </c>
      <c r="K285" s="11"/>
    </row>
    <row r="286" spans="1:11" x14ac:dyDescent="0.3">
      <c r="A286" s="12">
        <v>282</v>
      </c>
      <c r="B286" s="13"/>
      <c r="C286" s="13"/>
      <c r="D286" s="14"/>
      <c r="E286" s="14"/>
      <c r="F286" s="14"/>
      <c r="G286" s="14"/>
      <c r="H286" s="14"/>
      <c r="I286" s="15">
        <f t="shared" si="8"/>
        <v>0</v>
      </c>
      <c r="J286" s="16" t="str">
        <f t="shared" si="9"/>
        <v>OK</v>
      </c>
      <c r="K286" s="17"/>
    </row>
    <row r="287" spans="1:11" x14ac:dyDescent="0.3">
      <c r="A287" s="6">
        <v>283</v>
      </c>
      <c r="B287" s="7"/>
      <c r="C287" s="7"/>
      <c r="D287" s="8"/>
      <c r="E287" s="8"/>
      <c r="F287" s="8"/>
      <c r="G287" s="8"/>
      <c r="H287" s="8"/>
      <c r="I287" s="9">
        <f t="shared" si="8"/>
        <v>0</v>
      </c>
      <c r="J287" s="10" t="str">
        <f t="shared" si="9"/>
        <v>OK</v>
      </c>
      <c r="K287" s="11"/>
    </row>
    <row r="288" spans="1:11" x14ac:dyDescent="0.3">
      <c r="A288" s="12">
        <v>284</v>
      </c>
      <c r="B288" s="13"/>
      <c r="C288" s="13"/>
      <c r="D288" s="14"/>
      <c r="E288" s="14"/>
      <c r="F288" s="14"/>
      <c r="G288" s="14"/>
      <c r="H288" s="14"/>
      <c r="I288" s="15">
        <f t="shared" si="8"/>
        <v>0</v>
      </c>
      <c r="J288" s="16" t="str">
        <f t="shared" si="9"/>
        <v>OK</v>
      </c>
      <c r="K288" s="17"/>
    </row>
    <row r="289" spans="1:11" x14ac:dyDescent="0.3">
      <c r="A289" s="6">
        <v>285</v>
      </c>
      <c r="B289" s="7"/>
      <c r="C289" s="7"/>
      <c r="D289" s="8"/>
      <c r="E289" s="8"/>
      <c r="F289" s="8"/>
      <c r="G289" s="8"/>
      <c r="H289" s="8"/>
      <c r="I289" s="9">
        <f t="shared" si="8"/>
        <v>0</v>
      </c>
      <c r="J289" s="10" t="str">
        <f t="shared" si="9"/>
        <v>OK</v>
      </c>
      <c r="K289" s="11"/>
    </row>
    <row r="290" spans="1:11" x14ac:dyDescent="0.3">
      <c r="A290" s="12">
        <v>286</v>
      </c>
      <c r="B290" s="13"/>
      <c r="C290" s="13"/>
      <c r="D290" s="14"/>
      <c r="E290" s="14"/>
      <c r="F290" s="14"/>
      <c r="G290" s="14"/>
      <c r="H290" s="14"/>
      <c r="I290" s="15">
        <f t="shared" si="8"/>
        <v>0</v>
      </c>
      <c r="J290" s="16" t="str">
        <f t="shared" si="9"/>
        <v>OK</v>
      </c>
      <c r="K290" s="17"/>
    </row>
    <row r="291" spans="1:11" x14ac:dyDescent="0.3">
      <c r="A291" s="6">
        <v>287</v>
      </c>
      <c r="B291" s="7"/>
      <c r="C291" s="7"/>
      <c r="D291" s="8"/>
      <c r="E291" s="8"/>
      <c r="F291" s="8"/>
      <c r="G291" s="8"/>
      <c r="H291" s="8"/>
      <c r="I291" s="9">
        <f t="shared" si="8"/>
        <v>0</v>
      </c>
      <c r="J291" s="10" t="str">
        <f t="shared" si="9"/>
        <v>OK</v>
      </c>
      <c r="K291" s="11"/>
    </row>
    <row r="292" spans="1:11" x14ac:dyDescent="0.3">
      <c r="A292" s="12">
        <v>288</v>
      </c>
      <c r="B292" s="13"/>
      <c r="C292" s="13"/>
      <c r="D292" s="14"/>
      <c r="E292" s="14"/>
      <c r="F292" s="14"/>
      <c r="G292" s="14"/>
      <c r="H292" s="14"/>
      <c r="I292" s="15">
        <f t="shared" si="8"/>
        <v>0</v>
      </c>
      <c r="J292" s="16" t="str">
        <f t="shared" si="9"/>
        <v>OK</v>
      </c>
      <c r="K292" s="17"/>
    </row>
    <row r="293" spans="1:11" x14ac:dyDescent="0.3">
      <c r="A293" s="6">
        <v>289</v>
      </c>
      <c r="B293" s="7"/>
      <c r="C293" s="7"/>
      <c r="D293" s="8"/>
      <c r="E293" s="8"/>
      <c r="F293" s="8"/>
      <c r="G293" s="8"/>
      <c r="H293" s="8"/>
      <c r="I293" s="9">
        <f t="shared" si="8"/>
        <v>0</v>
      </c>
      <c r="J293" s="10" t="str">
        <f t="shared" si="9"/>
        <v>OK</v>
      </c>
      <c r="K293" s="11"/>
    </row>
    <row r="294" spans="1:11" x14ac:dyDescent="0.3">
      <c r="A294" s="12">
        <v>290</v>
      </c>
      <c r="B294" s="13"/>
      <c r="C294" s="13"/>
      <c r="D294" s="14"/>
      <c r="E294" s="14"/>
      <c r="F294" s="14"/>
      <c r="G294" s="14"/>
      <c r="H294" s="14"/>
      <c r="I294" s="15">
        <f t="shared" si="8"/>
        <v>0</v>
      </c>
      <c r="J294" s="16" t="str">
        <f t="shared" si="9"/>
        <v>OK</v>
      </c>
      <c r="K294" s="17"/>
    </row>
    <row r="295" spans="1:11" x14ac:dyDescent="0.3">
      <c r="A295" s="6">
        <v>291</v>
      </c>
      <c r="B295" s="7"/>
      <c r="C295" s="7"/>
      <c r="D295" s="8"/>
      <c r="E295" s="8"/>
      <c r="F295" s="8"/>
      <c r="G295" s="8"/>
      <c r="H295" s="8"/>
      <c r="I295" s="9">
        <f t="shared" si="8"/>
        <v>0</v>
      </c>
      <c r="J295" s="10" t="str">
        <f t="shared" si="9"/>
        <v>OK</v>
      </c>
      <c r="K295" s="11"/>
    </row>
    <row r="296" spans="1:11" x14ac:dyDescent="0.3">
      <c r="A296" s="12">
        <v>292</v>
      </c>
      <c r="B296" s="13"/>
      <c r="C296" s="13"/>
      <c r="D296" s="14"/>
      <c r="E296" s="14"/>
      <c r="F296" s="14"/>
      <c r="G296" s="14"/>
      <c r="H296" s="14"/>
      <c r="I296" s="15">
        <f t="shared" si="8"/>
        <v>0</v>
      </c>
      <c r="J296" s="16" t="str">
        <f t="shared" si="9"/>
        <v>OK</v>
      </c>
      <c r="K296" s="17"/>
    </row>
    <row r="297" spans="1:11" x14ac:dyDescent="0.3">
      <c r="A297" s="6">
        <v>293</v>
      </c>
      <c r="B297" s="7"/>
      <c r="C297" s="7"/>
      <c r="D297" s="8"/>
      <c r="E297" s="8"/>
      <c r="F297" s="8"/>
      <c r="G297" s="8"/>
      <c r="H297" s="8"/>
      <c r="I297" s="9">
        <f t="shared" si="8"/>
        <v>0</v>
      </c>
      <c r="J297" s="10" t="str">
        <f t="shared" si="9"/>
        <v>OK</v>
      </c>
      <c r="K297" s="11"/>
    </row>
    <row r="298" spans="1:11" x14ac:dyDescent="0.3">
      <c r="A298" s="12">
        <v>294</v>
      </c>
      <c r="B298" s="13"/>
      <c r="C298" s="13"/>
      <c r="D298" s="14"/>
      <c r="E298" s="14"/>
      <c r="F298" s="14"/>
      <c r="G298" s="14"/>
      <c r="H298" s="14"/>
      <c r="I298" s="15">
        <f t="shared" si="8"/>
        <v>0</v>
      </c>
      <c r="J298" s="16" t="str">
        <f t="shared" si="9"/>
        <v>OK</v>
      </c>
      <c r="K298" s="17"/>
    </row>
    <row r="299" spans="1:11" x14ac:dyDescent="0.3">
      <c r="A299" s="6">
        <v>295</v>
      </c>
      <c r="B299" s="7"/>
      <c r="C299" s="7"/>
      <c r="D299" s="8"/>
      <c r="E299" s="8"/>
      <c r="F299" s="8"/>
      <c r="G299" s="8"/>
      <c r="H299" s="8"/>
      <c r="I299" s="9">
        <f t="shared" si="8"/>
        <v>0</v>
      </c>
      <c r="J299" s="10" t="str">
        <f t="shared" si="9"/>
        <v>OK</v>
      </c>
      <c r="K299" s="11"/>
    </row>
    <row r="300" spans="1:11" x14ac:dyDescent="0.3">
      <c r="A300" s="12">
        <v>296</v>
      </c>
      <c r="B300" s="13"/>
      <c r="C300" s="13"/>
      <c r="D300" s="14"/>
      <c r="E300" s="14"/>
      <c r="F300" s="14"/>
      <c r="G300" s="14"/>
      <c r="H300" s="14"/>
      <c r="I300" s="15">
        <f t="shared" si="8"/>
        <v>0</v>
      </c>
      <c r="J300" s="16" t="str">
        <f t="shared" si="9"/>
        <v>OK</v>
      </c>
      <c r="K300" s="17"/>
    </row>
    <row r="301" spans="1:11" x14ac:dyDescent="0.3">
      <c r="A301" s="6">
        <v>297</v>
      </c>
      <c r="B301" s="7"/>
      <c r="C301" s="7"/>
      <c r="D301" s="8"/>
      <c r="E301" s="8"/>
      <c r="F301" s="8"/>
      <c r="G301" s="8"/>
      <c r="H301" s="8"/>
      <c r="I301" s="9">
        <f t="shared" si="8"/>
        <v>0</v>
      </c>
      <c r="J301" s="10" t="str">
        <f t="shared" si="9"/>
        <v>OK</v>
      </c>
      <c r="K301" s="11"/>
    </row>
    <row r="302" spans="1:11" x14ac:dyDescent="0.3">
      <c r="A302" s="12">
        <v>298</v>
      </c>
      <c r="B302" s="13"/>
      <c r="C302" s="13"/>
      <c r="D302" s="14"/>
      <c r="E302" s="14"/>
      <c r="F302" s="14"/>
      <c r="G302" s="14"/>
      <c r="H302" s="14"/>
      <c r="I302" s="15">
        <f t="shared" si="8"/>
        <v>0</v>
      </c>
      <c r="J302" s="16" t="str">
        <f t="shared" si="9"/>
        <v>OK</v>
      </c>
      <c r="K302" s="17"/>
    </row>
    <row r="303" spans="1:11" x14ac:dyDescent="0.3">
      <c r="A303" s="6">
        <v>299</v>
      </c>
      <c r="B303" s="7"/>
      <c r="C303" s="7"/>
      <c r="D303" s="8"/>
      <c r="E303" s="8"/>
      <c r="F303" s="8"/>
      <c r="G303" s="8"/>
      <c r="H303" s="8"/>
      <c r="I303" s="9">
        <f t="shared" si="8"/>
        <v>0</v>
      </c>
      <c r="J303" s="10" t="str">
        <f t="shared" si="9"/>
        <v>OK</v>
      </c>
      <c r="K303" s="11"/>
    </row>
    <row r="304" spans="1:11" x14ac:dyDescent="0.3">
      <c r="A304" s="12">
        <v>300</v>
      </c>
      <c r="B304" s="13"/>
      <c r="C304" s="13"/>
      <c r="D304" s="14"/>
      <c r="E304" s="14"/>
      <c r="F304" s="14"/>
      <c r="G304" s="14"/>
      <c r="H304" s="14"/>
      <c r="I304" s="15">
        <f t="shared" si="8"/>
        <v>0</v>
      </c>
      <c r="J304" s="16" t="str">
        <f t="shared" si="9"/>
        <v>OK</v>
      </c>
      <c r="K304" s="17"/>
    </row>
    <row r="305" spans="1:11" x14ac:dyDescent="0.3">
      <c r="A305" s="6">
        <v>301</v>
      </c>
      <c r="B305" s="7"/>
      <c r="C305" s="7"/>
      <c r="D305" s="8"/>
      <c r="E305" s="8"/>
      <c r="F305" s="8"/>
      <c r="G305" s="8"/>
      <c r="H305" s="8"/>
      <c r="I305" s="9">
        <f t="shared" si="8"/>
        <v>0</v>
      </c>
      <c r="J305" s="10" t="str">
        <f t="shared" si="9"/>
        <v>OK</v>
      </c>
      <c r="K305" s="11"/>
    </row>
    <row r="306" spans="1:11" x14ac:dyDescent="0.3">
      <c r="A306" s="12">
        <v>302</v>
      </c>
      <c r="B306" s="13"/>
      <c r="C306" s="13"/>
      <c r="D306" s="14"/>
      <c r="E306" s="14"/>
      <c r="F306" s="14"/>
      <c r="G306" s="14"/>
      <c r="H306" s="14"/>
      <c r="I306" s="15">
        <f t="shared" si="8"/>
        <v>0</v>
      </c>
      <c r="J306" s="16" t="str">
        <f t="shared" si="9"/>
        <v>OK</v>
      </c>
      <c r="K306" s="17"/>
    </row>
    <row r="307" spans="1:11" x14ac:dyDescent="0.3">
      <c r="A307" s="6">
        <v>303</v>
      </c>
      <c r="B307" s="7"/>
      <c r="C307" s="7"/>
      <c r="D307" s="8"/>
      <c r="E307" s="8"/>
      <c r="F307" s="8"/>
      <c r="G307" s="8"/>
      <c r="H307" s="8"/>
      <c r="I307" s="9">
        <f t="shared" si="8"/>
        <v>0</v>
      </c>
      <c r="J307" s="10" t="str">
        <f t="shared" si="9"/>
        <v>OK</v>
      </c>
      <c r="K307" s="11"/>
    </row>
    <row r="308" spans="1:11" x14ac:dyDescent="0.3">
      <c r="A308" s="12">
        <v>304</v>
      </c>
      <c r="B308" s="13"/>
      <c r="C308" s="13"/>
      <c r="D308" s="14"/>
      <c r="E308" s="14"/>
      <c r="F308" s="14"/>
      <c r="G308" s="14"/>
      <c r="H308" s="14"/>
      <c r="I308" s="15">
        <f t="shared" si="8"/>
        <v>0</v>
      </c>
      <c r="J308" s="16" t="str">
        <f t="shared" si="9"/>
        <v>OK</v>
      </c>
      <c r="K308" s="17"/>
    </row>
    <row r="309" spans="1:11" x14ac:dyDescent="0.3">
      <c r="A309" s="6">
        <v>305</v>
      </c>
      <c r="B309" s="7"/>
      <c r="C309" s="7"/>
      <c r="D309" s="8"/>
      <c r="E309" s="8"/>
      <c r="F309" s="8"/>
      <c r="G309" s="8"/>
      <c r="H309" s="8"/>
      <c r="I309" s="9">
        <f t="shared" si="8"/>
        <v>0</v>
      </c>
      <c r="J309" s="10" t="str">
        <f t="shared" si="9"/>
        <v>OK</v>
      </c>
      <c r="K309" s="11"/>
    </row>
    <row r="310" spans="1:11" x14ac:dyDescent="0.3">
      <c r="A310" s="12">
        <v>306</v>
      </c>
      <c r="B310" s="13"/>
      <c r="C310" s="13"/>
      <c r="D310" s="14"/>
      <c r="E310" s="14"/>
      <c r="F310" s="14"/>
      <c r="G310" s="14"/>
      <c r="H310" s="14"/>
      <c r="I310" s="15">
        <f t="shared" si="8"/>
        <v>0</v>
      </c>
      <c r="J310" s="16" t="str">
        <f t="shared" si="9"/>
        <v>OK</v>
      </c>
      <c r="K310" s="17"/>
    </row>
    <row r="311" spans="1:11" x14ac:dyDescent="0.3">
      <c r="A311" s="6">
        <v>307</v>
      </c>
      <c r="B311" s="7"/>
      <c r="C311" s="7"/>
      <c r="D311" s="8"/>
      <c r="E311" s="8"/>
      <c r="F311" s="8"/>
      <c r="G311" s="8"/>
      <c r="H311" s="8"/>
      <c r="I311" s="9">
        <f t="shared" ref="I311" si="10">IFERROR(H311-G311,"-")</f>
        <v>0</v>
      </c>
      <c r="J311" s="10" t="str">
        <f t="shared" ref="J311" si="11">IF(OR(I311="-",I311=""),"",IF(I311=0,"OK",IF(I311&gt;0,"Surplus","Kurang")))</f>
        <v>OK</v>
      </c>
      <c r="K311" s="11"/>
    </row>
  </sheetData>
  <autoFilter ref="A4:K54" xr:uid="{00000000-0009-0000-0000-000001000000}"/>
  <mergeCells count="2">
    <mergeCell ref="A1:K1"/>
    <mergeCell ref="A2:K2"/>
  </mergeCells>
  <conditionalFormatting sqref="J5:J311">
    <cfRule type="cellIs" dxfId="2" priority="1" operator="equal">
      <formula>"Kurang"</formula>
    </cfRule>
    <cfRule type="cellIs" dxfId="1" priority="2" operator="equal">
      <formula>"Surplus"</formula>
    </cfRule>
    <cfRule type="cellIs" dxfId="0" priority="3" operator="equal">
      <formula>"OK"</formula>
    </cfRule>
  </conditionalFormatting>
  <pageMargins left="0.75" right="0.75" top="1" bottom="1" header="0.5" footer="0.5"/>
  <pageSetup paperSize="9" scale="90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D13"/>
  <sheetViews>
    <sheetView showGridLines="0" workbookViewId="0">
      <selection activeCell="C6" sqref="C6"/>
    </sheetView>
  </sheetViews>
  <sheetFormatPr defaultRowHeight="14.4" x14ac:dyDescent="0.3"/>
  <cols>
    <col min="1" max="1" width="3" customWidth="1"/>
    <col min="2" max="2" width="32" customWidth="1"/>
    <col min="3" max="3" width="18" customWidth="1"/>
    <col min="4" max="4" width="10" customWidth="1"/>
  </cols>
  <sheetData>
    <row r="2" spans="2:4" ht="31.95" customHeight="1" x14ac:dyDescent="0.3">
      <c r="B2" s="48" t="s">
        <v>34</v>
      </c>
      <c r="C2" s="44"/>
      <c r="D2" s="44"/>
    </row>
    <row r="4" spans="2:4" ht="22.05" customHeight="1" x14ac:dyDescent="0.3">
      <c r="B4" s="18" t="s">
        <v>35</v>
      </c>
      <c r="C4" s="18" t="s">
        <v>36</v>
      </c>
      <c r="D4" s="18"/>
    </row>
    <row r="5" spans="2:4" ht="22.05" customHeight="1" x14ac:dyDescent="0.3">
      <c r="B5" s="19" t="s">
        <v>37</v>
      </c>
      <c r="C5" s="20">
        <f>COUNTA('TEMPLATE OPNAME'!B5:B54)</f>
        <v>0</v>
      </c>
      <c r="D5" s="21" t="s">
        <v>38</v>
      </c>
    </row>
    <row r="6" spans="2:4" ht="22.05" customHeight="1" x14ac:dyDescent="0.3">
      <c r="B6" s="22" t="s">
        <v>39</v>
      </c>
      <c r="C6" s="23">
        <f>COUNTIF('TEMPLATE OPNAME'!J5:J54,"OK")</f>
        <v>49</v>
      </c>
      <c r="D6" s="24" t="s">
        <v>38</v>
      </c>
    </row>
    <row r="7" spans="2:4" ht="22.05" customHeight="1" x14ac:dyDescent="0.3">
      <c r="B7" s="19" t="s">
        <v>40</v>
      </c>
      <c r="C7" s="20">
        <f>COUNTIF('TEMPLATE OPNAME'!J5:J54,"Kurang")</f>
        <v>1</v>
      </c>
      <c r="D7" s="21" t="s">
        <v>38</v>
      </c>
    </row>
    <row r="8" spans="2:4" ht="22.05" customHeight="1" x14ac:dyDescent="0.3">
      <c r="B8" s="22" t="s">
        <v>41</v>
      </c>
      <c r="C8" s="23">
        <f>COUNTIF('TEMPLATE OPNAME'!J5:J54,"Surplus")</f>
        <v>0</v>
      </c>
      <c r="D8" s="24" t="s">
        <v>38</v>
      </c>
    </row>
    <row r="9" spans="2:4" ht="22.05" customHeight="1" x14ac:dyDescent="0.3"/>
    <row r="10" spans="2:4" ht="22.05" customHeight="1" x14ac:dyDescent="0.3">
      <c r="B10" s="18" t="s">
        <v>42</v>
      </c>
      <c r="C10" s="18" t="s">
        <v>43</v>
      </c>
      <c r="D10" s="18"/>
    </row>
    <row r="11" spans="2:4" ht="22.05" customHeight="1" x14ac:dyDescent="0.3">
      <c r="B11" s="19" t="s">
        <v>44</v>
      </c>
      <c r="C11" s="20">
        <f>SUMIF('TEMPLATE OPNAME'!J5:J54,"Kurang",'TEMPLATE OPNAME'!I5:I54)</f>
        <v>-1</v>
      </c>
      <c r="D11" s="21" t="s">
        <v>45</v>
      </c>
    </row>
    <row r="12" spans="2:4" ht="22.05" customHeight="1" x14ac:dyDescent="0.3">
      <c r="B12" s="22" t="s">
        <v>46</v>
      </c>
      <c r="C12" s="23">
        <f>SUMIF('TEMPLATE OPNAME'!J5:J54,"Surplus",'TEMPLATE OPNAME'!I5:I54)</f>
        <v>0</v>
      </c>
      <c r="D12" s="24" t="s">
        <v>45</v>
      </c>
    </row>
    <row r="13" spans="2:4" ht="22.05" customHeight="1" x14ac:dyDescent="0.3">
      <c r="B13" s="19" t="s">
        <v>47</v>
      </c>
      <c r="C13" s="20">
        <f>C12+C11</f>
        <v>-1</v>
      </c>
      <c r="D13" s="21" t="s">
        <v>45</v>
      </c>
    </row>
  </sheetData>
  <mergeCells count="1">
    <mergeCell ref="B2:D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PETUNJUK</vt:lpstr>
      <vt:lpstr>KARTU STOCK</vt:lpstr>
      <vt:lpstr>TEMPLATE OPNAME</vt:lpstr>
      <vt:lpstr>RINGKASAN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Yulius Efrianto</cp:lastModifiedBy>
  <cp:lastPrinted>2026-06-02T03:32:42Z</cp:lastPrinted>
  <dcterms:created xsi:type="dcterms:W3CDTF">2026-05-08T02:03:02Z</dcterms:created>
  <dcterms:modified xsi:type="dcterms:W3CDTF">2026-06-02T14:37:39Z</dcterms:modified>
</cp:coreProperties>
</file>